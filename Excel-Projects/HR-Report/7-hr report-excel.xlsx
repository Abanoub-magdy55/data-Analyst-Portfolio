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Mariam\Downloads\"/>
    </mc:Choice>
  </mc:AlternateContent>
  <xr:revisionPtr revIDLastSave="0" documentId="13_ncr:1_{707AC06B-05A4-4A12-8D6C-82D4A0CA1CDB}" xr6:coauthVersionLast="47" xr6:coauthVersionMax="47" xr10:uidLastSave="{00000000-0000-0000-0000-000000000000}"/>
  <bookViews>
    <workbookView xWindow="-108" yWindow="-108" windowWidth="23256" windowHeight="12576" firstSheet="7" activeTab="9" xr2:uid="{D3329ABA-F19C-4D3D-8D52-263D1F3FB029}"/>
  </bookViews>
  <sheets>
    <sheet name="Sales" sheetId="7" r:id="rId1"/>
    <sheet name="Marketing" sheetId="6" r:id="rId2"/>
    <sheet name="IT" sheetId="5" r:id="rId3"/>
    <sheet name="HR" sheetId="4" r:id="rId4"/>
    <sheet name="Finance" sheetId="3" r:id="rId5"/>
    <sheet name="All" sheetId="13" r:id="rId6"/>
    <sheet name="Pivot Tables" sheetId="15" r:id="rId7"/>
    <sheet name="Home" sheetId="16" r:id="rId8"/>
    <sheet name="Employee Performance Dashboard" sheetId="17" r:id="rId9"/>
    <sheet name="Empoyee Salaries Dashboard" sheetId="18" r:id="rId10"/>
  </sheets>
  <definedNames>
    <definedName name="ExternalData_2" localSheetId="4" hidden="1">Finance!$A$1:$L$11</definedName>
    <definedName name="ExternalData_3" localSheetId="3" hidden="1">HR!$A$1:$L$24</definedName>
    <definedName name="ExternalData_4" localSheetId="2" hidden="1">IT!$A$1:$L$13</definedName>
    <definedName name="ExternalData_5" localSheetId="1" hidden="1">Marketing!$A$1:$L$19</definedName>
    <definedName name="ExternalData_6" localSheetId="5" hidden="1">All!$A$1:$Q$101</definedName>
    <definedName name="Slicer_القسم">#N/A</definedName>
    <definedName name="Slicer_الموقع">#N/A</definedName>
    <definedName name="Slicer_الموقع1">#N/A</definedName>
    <definedName name="Slicer_المؤهل_الدراسي">#N/A</definedName>
    <definedName name="Slicer_الوظيفة">#N/A</definedName>
    <definedName name="Slicer_الوظيفة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3" i="15" l="1"/>
  <c r="F93" i="15"/>
  <c r="G93" i="15"/>
  <c r="E94" i="15"/>
  <c r="F94" i="15"/>
  <c r="G94" i="15"/>
  <c r="E95" i="15"/>
  <c r="F95" i="15"/>
  <c r="G95" i="15"/>
  <c r="E96" i="15"/>
  <c r="F96" i="15"/>
  <c r="G96" i="15"/>
  <c r="E97" i="15"/>
  <c r="F97" i="15"/>
  <c r="G97" i="15"/>
  <c r="E98" i="15"/>
  <c r="F98" i="15"/>
  <c r="G98" i="15"/>
  <c r="E99" i="15"/>
  <c r="F99" i="15"/>
  <c r="G99" i="15"/>
  <c r="A62" i="15"/>
  <c r="B62" i="15"/>
  <c r="C62" i="15"/>
  <c r="D62" i="15"/>
  <c r="E62" i="15"/>
  <c r="T29" i="15"/>
  <c r="U29" i="15"/>
  <c r="T31" i="15"/>
  <c r="U31" i="15"/>
  <c r="T32" i="15"/>
  <c r="U32" i="15"/>
  <c r="T33" i="15"/>
  <c r="U33" i="15"/>
  <c r="T34" i="15"/>
  <c r="U34" i="15"/>
  <c r="T35" i="15"/>
  <c r="U35" i="15"/>
  <c r="T36" i="15"/>
  <c r="U36" i="15"/>
  <c r="T30" i="15"/>
  <c r="U30" i="15"/>
  <c r="Q29" i="15"/>
  <c r="R29" i="15"/>
  <c r="Q30" i="15"/>
  <c r="R30" i="15"/>
  <c r="Q31" i="15"/>
  <c r="R31" i="15"/>
  <c r="Q32" i="15"/>
  <c r="R32" i="15"/>
  <c r="Q33" i="15"/>
  <c r="R33" i="15"/>
  <c r="Q34" i="15"/>
  <c r="R34" i="15"/>
  <c r="Q35" i="15"/>
  <c r="R35" i="15"/>
  <c r="A11" i="15"/>
  <c r="B11" i="15"/>
  <c r="C11" i="15"/>
  <c r="D11" i="15"/>
  <c r="E11" i="15"/>
  <c r="F11" i="15"/>
  <c r="M36" i="15"/>
  <c r="N36" i="15"/>
  <c r="O36" i="15"/>
  <c r="M37" i="15"/>
  <c r="N37" i="15"/>
  <c r="O37" i="15"/>
  <c r="M38" i="15"/>
  <c r="N38" i="15"/>
  <c r="O38" i="15"/>
  <c r="M39" i="15"/>
  <c r="N39" i="15"/>
  <c r="O39" i="15"/>
  <c r="M40" i="15"/>
  <c r="N40" i="15"/>
  <c r="O40" i="15"/>
  <c r="M41" i="15"/>
  <c r="N41" i="15"/>
  <c r="O41" i="15"/>
  <c r="M42" i="15"/>
  <c r="N42" i="15"/>
  <c r="O42" i="15"/>
  <c r="M43" i="15"/>
  <c r="N43" i="15"/>
  <c r="O43" i="15"/>
  <c r="M44" i="15"/>
  <c r="N44" i="15"/>
  <c r="O44" i="15"/>
  <c r="M45" i="15"/>
  <c r="N45" i="15"/>
  <c r="O45" i="15"/>
  <c r="M46" i="15"/>
  <c r="N46" i="15"/>
  <c r="O46" i="15"/>
  <c r="M47" i="15"/>
  <c r="N47" i="15"/>
  <c r="O47" i="15"/>
  <c r="M48" i="15"/>
  <c r="N48" i="15"/>
  <c r="O48" i="15"/>
  <c r="M49" i="15"/>
  <c r="N49" i="15"/>
  <c r="O49"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FEDF6A-D661-4DD0-8D0F-F4DC9C210DDF}" keepAlive="1" name="Query - All" description="Connection to the 'All' query in the workbook." type="5" refreshedVersion="8" background="1" saveData="1">
    <dbPr connection="Provider=Microsoft.Mashup.OleDb.1;Data Source=$Workbook$;Location=All;Extended Properties=&quot;&quot;" command="SELECT * FROM [All]"/>
  </connection>
  <connection id="2" xr16:uid="{00E36604-1A15-4D1B-831B-7C1CD85C3774}" keepAlive="1" name="Query - Finance5" description="Connection to the 'Finance5' query in the workbook." type="5" refreshedVersion="0" background="1">
    <dbPr connection="Provider=Microsoft.Mashup.OleDb.1;Data Source=$Workbook$;Location=Finance5;Extended Properties=&quot;&quot;" command="SELECT * FROM [Finance5]"/>
  </connection>
  <connection id="3" xr16:uid="{414074E0-E939-4BD1-99A5-1048901D9752}" keepAlive="1" name="Query - HR4" description="Connection to the 'HR4' query in the workbook." type="5" refreshedVersion="0" background="1">
    <dbPr connection="Provider=Microsoft.Mashup.OleDb.1;Data Source=$Workbook$;Location=HR4;Extended Properties=&quot;&quot;" command="SELECT * FROM [HR4]"/>
  </connection>
  <connection id="4" xr16:uid="{029C033D-3BF4-4757-807B-6F5E2BC672CA}" keepAlive="1" name="Query - IT3" description="Connection to the 'IT3' query in the workbook." type="5" refreshedVersion="0" background="1">
    <dbPr connection="Provider=Microsoft.Mashup.OleDb.1;Data Source=$Workbook$;Location=IT3;Extended Properties=&quot;&quot;" command="SELECT * FROM [IT3]"/>
  </connection>
  <connection id="5" xr16:uid="{703C4BED-B2E5-456D-AA22-7D28D7CA765B}" keepAlive="1" name="Query - Marketing2" description="Connection to the 'Marketing2' query in the workbook." type="5" refreshedVersion="8" background="1" saveData="1">
    <dbPr connection="Provider=Microsoft.Mashup.OleDb.1;Data Source=$Workbook$;Location=Marketing2;Extended Properties=&quot;&quot;" command="SELECT * FROM [Marketing2]"/>
  </connection>
  <connection id="6" xr16:uid="{8E19850E-AE21-46B4-8B53-D3E62EBB9DBD}" keepAlive="1" name="Query - Sales" description="Connection to the 'Sales' query in the workbook." type="5" refreshedVersion="0" background="1">
    <dbPr connection="Provider=Microsoft.Mashup.OleDb.1;Data Source=$Workbook$;Location=Sales;Extended Properties=&quot;&quot;" command="SELECT * FROM [Sales]"/>
  </connection>
</connections>
</file>

<file path=xl/sharedStrings.xml><?xml version="1.0" encoding="utf-8"?>
<sst xmlns="http://schemas.openxmlformats.org/spreadsheetml/2006/main" count="1532" uniqueCount="411">
  <si>
    <t>المسلسل</t>
  </si>
  <si>
    <t>الرقم الوظيفي</t>
  </si>
  <si>
    <t>اسم الموظف</t>
  </si>
  <si>
    <t>الوظيفة</t>
  </si>
  <si>
    <t>القسم</t>
  </si>
  <si>
    <t>الموقع</t>
  </si>
  <si>
    <t>تاريخ التعيين</t>
  </si>
  <si>
    <t>تاريخ الميلاد</t>
  </si>
  <si>
    <t>المؤهل الدراسي</t>
  </si>
  <si>
    <t>الراتب</t>
  </si>
  <si>
    <t>PER 2019</t>
  </si>
  <si>
    <t>PER 2020</t>
  </si>
  <si>
    <t>أحمد حسن</t>
  </si>
  <si>
    <t>HR Manager</t>
  </si>
  <si>
    <t>HR</t>
  </si>
  <si>
    <t>الاسكندرية</t>
  </si>
  <si>
    <t>بكالوريوس</t>
  </si>
  <si>
    <t>سارة احمد محمد</t>
  </si>
  <si>
    <t>Marketing Manager</t>
  </si>
  <si>
    <t>Marketing</t>
  </si>
  <si>
    <t>ماجستير</t>
  </si>
  <si>
    <t>محمد علاء</t>
  </si>
  <si>
    <t>IT Manager</t>
  </si>
  <si>
    <t>IT</t>
  </si>
  <si>
    <t>طنطا</t>
  </si>
  <si>
    <t>علي محمد</t>
  </si>
  <si>
    <t>Financial Manager</t>
  </si>
  <si>
    <t>Finance</t>
  </si>
  <si>
    <t>القاهرة</t>
  </si>
  <si>
    <t>أحمد سمير</t>
  </si>
  <si>
    <t>Sales Manager</t>
  </si>
  <si>
    <t>Sales</t>
  </si>
  <si>
    <t>مهاب أسامة</t>
  </si>
  <si>
    <t>HR Specialist</t>
  </si>
  <si>
    <t>ايمان علي سلامة</t>
  </si>
  <si>
    <t>Recruitment Specialsit</t>
  </si>
  <si>
    <t>الاء أحمد</t>
  </si>
  <si>
    <t>HR Coordinator</t>
  </si>
  <si>
    <t>كامل عصام</t>
  </si>
  <si>
    <t>Software developer</t>
  </si>
  <si>
    <t>هدي محمد</t>
  </si>
  <si>
    <t>Sales rep.</t>
  </si>
  <si>
    <t>دبلوم</t>
  </si>
  <si>
    <t>أشرف أحمد</t>
  </si>
  <si>
    <t>خالد محمد</t>
  </si>
  <si>
    <t>Accountant</t>
  </si>
  <si>
    <t>نسمة كامل</t>
  </si>
  <si>
    <t>ندي إبراهيم</t>
  </si>
  <si>
    <t>Digital marketing specialist</t>
  </si>
  <si>
    <t>عبد الرحمن محمد</t>
  </si>
  <si>
    <t>Products Marketing Coordinator</t>
  </si>
  <si>
    <t>تامر خالد</t>
  </si>
  <si>
    <t>حازم أحمد</t>
  </si>
  <si>
    <t>يوسف أحمد</t>
  </si>
  <si>
    <t>أحمد فريد</t>
  </si>
  <si>
    <t>نورهان أحمد</t>
  </si>
  <si>
    <t>منه محمود</t>
  </si>
  <si>
    <t>منه أحمد</t>
  </si>
  <si>
    <t>هند بهاء</t>
  </si>
  <si>
    <t>مي محمد ابراهيم</t>
  </si>
  <si>
    <t>محمد راضي</t>
  </si>
  <si>
    <t>مؤمن محمد</t>
  </si>
  <si>
    <t>حسين ياسر</t>
  </si>
  <si>
    <t>فادي نور</t>
  </si>
  <si>
    <t>نور يحيي</t>
  </si>
  <si>
    <t>اسراء عصام</t>
  </si>
  <si>
    <t>مارك يوسف</t>
  </si>
  <si>
    <t>يحيي هادي</t>
  </si>
  <si>
    <t>تغريد يحيي</t>
  </si>
  <si>
    <t>حسن أحمد</t>
  </si>
  <si>
    <t>مروة محمد عبدالله</t>
  </si>
  <si>
    <t>هالة عبد العال</t>
  </si>
  <si>
    <t>نغم محمد</t>
  </si>
  <si>
    <t>محمد أحمد</t>
  </si>
  <si>
    <t>الاسكندريه</t>
  </si>
  <si>
    <t>القاهره</t>
  </si>
  <si>
    <t xml:space="preserve">Marketing </t>
  </si>
  <si>
    <t>العمر</t>
  </si>
  <si>
    <t>عدد سنين الخبرة</t>
  </si>
  <si>
    <t>الاداء في 2024</t>
  </si>
  <si>
    <t>الاداء في 2025</t>
  </si>
  <si>
    <t>متوسط الاداء الكلي</t>
  </si>
  <si>
    <t>التغير في اداء الموظف</t>
  </si>
  <si>
    <t>5</t>
  </si>
  <si>
    <t>27375</t>
  </si>
  <si>
    <t>25</t>
  </si>
  <si>
    <t>45</t>
  </si>
  <si>
    <t>10</t>
  </si>
  <si>
    <t>30377</t>
  </si>
  <si>
    <t>15</t>
  </si>
  <si>
    <t>55</t>
  </si>
  <si>
    <t>11</t>
  </si>
  <si>
    <t>29369</t>
  </si>
  <si>
    <t>9</t>
  </si>
  <si>
    <t>46</t>
  </si>
  <si>
    <t>16</t>
  </si>
  <si>
    <t>27142</t>
  </si>
  <si>
    <t>14</t>
  </si>
  <si>
    <t>54</t>
  </si>
  <si>
    <t>17</t>
  </si>
  <si>
    <t>27650</t>
  </si>
  <si>
    <t>18</t>
  </si>
  <si>
    <t>25906</t>
  </si>
  <si>
    <t>12</t>
  </si>
  <si>
    <t>44</t>
  </si>
  <si>
    <t>19</t>
  </si>
  <si>
    <t>26439</t>
  </si>
  <si>
    <t>56</t>
  </si>
  <si>
    <t>20</t>
  </si>
  <si>
    <t>26438</t>
  </si>
  <si>
    <t>21</t>
  </si>
  <si>
    <t>31456</t>
  </si>
  <si>
    <t>61</t>
  </si>
  <si>
    <t>22</t>
  </si>
  <si>
    <t>27141</t>
  </si>
  <si>
    <t>41</t>
  </si>
  <si>
    <t>23</t>
  </si>
  <si>
    <t>26448</t>
  </si>
  <si>
    <t>42</t>
  </si>
  <si>
    <t>31</t>
  </si>
  <si>
    <t>26437</t>
  </si>
  <si>
    <t>49</t>
  </si>
  <si>
    <t>32</t>
  </si>
  <si>
    <t>27960</t>
  </si>
  <si>
    <t>60</t>
  </si>
  <si>
    <t>37</t>
  </si>
  <si>
    <t>27003</t>
  </si>
  <si>
    <t>7</t>
  </si>
  <si>
    <t>38</t>
  </si>
  <si>
    <t>26440</t>
  </si>
  <si>
    <t>48</t>
  </si>
  <si>
    <t>39</t>
  </si>
  <si>
    <t>26433</t>
  </si>
  <si>
    <t>40</t>
  </si>
  <si>
    <t>31457</t>
  </si>
  <si>
    <t>26</t>
  </si>
  <si>
    <t>27648</t>
  </si>
  <si>
    <t>36</t>
  </si>
  <si>
    <t>27858</t>
  </si>
  <si>
    <t>13</t>
  </si>
  <si>
    <t>47</t>
  </si>
  <si>
    <t>43</t>
  </si>
  <si>
    <t>26444</t>
  </si>
  <si>
    <t>27</t>
  </si>
  <si>
    <t>51</t>
  </si>
  <si>
    <t>28126</t>
  </si>
  <si>
    <t>52</t>
  </si>
  <si>
    <t>26413</t>
  </si>
  <si>
    <t>59</t>
  </si>
  <si>
    <t>26347</t>
  </si>
  <si>
    <t>26430</t>
  </si>
  <si>
    <t>72</t>
  </si>
  <si>
    <t>26991</t>
  </si>
  <si>
    <t>73</t>
  </si>
  <si>
    <t>27618</t>
  </si>
  <si>
    <t>53</t>
  </si>
  <si>
    <t>78</t>
  </si>
  <si>
    <t>28166</t>
  </si>
  <si>
    <t>79</t>
  </si>
  <si>
    <t>27004</t>
  </si>
  <si>
    <t>29</t>
  </si>
  <si>
    <t>80</t>
  </si>
  <si>
    <t>27649</t>
  </si>
  <si>
    <t>28</t>
  </si>
  <si>
    <t>81</t>
  </si>
  <si>
    <t>26998</t>
  </si>
  <si>
    <t>82</t>
  </si>
  <si>
    <t>31455</t>
  </si>
  <si>
    <t>24</t>
  </si>
  <si>
    <t>89</t>
  </si>
  <si>
    <t>26425</t>
  </si>
  <si>
    <t>90</t>
  </si>
  <si>
    <t>26421</t>
  </si>
  <si>
    <t>91</t>
  </si>
  <si>
    <t>26419</t>
  </si>
  <si>
    <t>92</t>
  </si>
  <si>
    <t>28927</t>
  </si>
  <si>
    <t>93</t>
  </si>
  <si>
    <t>26748</t>
  </si>
  <si>
    <t>94</t>
  </si>
  <si>
    <t>27494</t>
  </si>
  <si>
    <t>4</t>
  </si>
  <si>
    <t>29769</t>
  </si>
  <si>
    <t>26401</t>
  </si>
  <si>
    <t>26435</t>
  </si>
  <si>
    <t>62</t>
  </si>
  <si>
    <t>33</t>
  </si>
  <si>
    <t>26410</t>
  </si>
  <si>
    <t>50</t>
  </si>
  <si>
    <t>34</t>
  </si>
  <si>
    <t>27385</t>
  </si>
  <si>
    <t>57</t>
  </si>
  <si>
    <t>26389</t>
  </si>
  <si>
    <t>66</t>
  </si>
  <si>
    <t>30459</t>
  </si>
  <si>
    <t>6</t>
  </si>
  <si>
    <t>74</t>
  </si>
  <si>
    <t>27780</t>
  </si>
  <si>
    <t>75</t>
  </si>
  <si>
    <t>25907</t>
  </si>
  <si>
    <t>86</t>
  </si>
  <si>
    <t>27144</t>
  </si>
  <si>
    <t>1</t>
  </si>
  <si>
    <t>26434</t>
  </si>
  <si>
    <t>27154</t>
  </si>
  <si>
    <t>27008</t>
  </si>
  <si>
    <t>8</t>
  </si>
  <si>
    <t>27621</t>
  </si>
  <si>
    <t>27374</t>
  </si>
  <si>
    <t>29368</t>
  </si>
  <si>
    <t>27092</t>
  </si>
  <si>
    <t>26429</t>
  </si>
  <si>
    <t>26994</t>
  </si>
  <si>
    <t>27007</t>
  </si>
  <si>
    <t>26424</t>
  </si>
  <si>
    <t>26415</t>
  </si>
  <si>
    <t>27143</t>
  </si>
  <si>
    <t>27393</t>
  </si>
  <si>
    <t>30351</t>
  </si>
  <si>
    <t>26441</t>
  </si>
  <si>
    <t>67</t>
  </si>
  <si>
    <t>27009</t>
  </si>
  <si>
    <t>68</t>
  </si>
  <si>
    <t>26428</t>
  </si>
  <si>
    <t>69</t>
  </si>
  <si>
    <t>26417</t>
  </si>
  <si>
    <t>70</t>
  </si>
  <si>
    <t>27150</t>
  </si>
  <si>
    <t>83</t>
  </si>
  <si>
    <t>26399</t>
  </si>
  <si>
    <t>84</t>
  </si>
  <si>
    <t>26442</t>
  </si>
  <si>
    <t>85</t>
  </si>
  <si>
    <t>25908</t>
  </si>
  <si>
    <t>3</t>
  </si>
  <si>
    <t>26446</t>
  </si>
  <si>
    <t>26412</t>
  </si>
  <si>
    <t>30</t>
  </si>
  <si>
    <t>25905</t>
  </si>
  <si>
    <t>30350</t>
  </si>
  <si>
    <t>58</t>
  </si>
  <si>
    <t>30349</t>
  </si>
  <si>
    <t>71</t>
  </si>
  <si>
    <t>30460</t>
  </si>
  <si>
    <t>2</t>
  </si>
  <si>
    <t>28127</t>
  </si>
  <si>
    <t>26422</t>
  </si>
  <si>
    <t>26414</t>
  </si>
  <si>
    <t>30352</t>
  </si>
  <si>
    <t>26726</t>
  </si>
  <si>
    <t>35</t>
  </si>
  <si>
    <t>26431</t>
  </si>
  <si>
    <t>26396</t>
  </si>
  <si>
    <t>26445</t>
  </si>
  <si>
    <t>26400</t>
  </si>
  <si>
    <t>26443</t>
  </si>
  <si>
    <t>63</t>
  </si>
  <si>
    <t>26610</t>
  </si>
  <si>
    <t>64</t>
  </si>
  <si>
    <t>26404</t>
  </si>
  <si>
    <t>65</t>
  </si>
  <si>
    <t>26402</t>
  </si>
  <si>
    <t>26427</t>
  </si>
  <si>
    <t>76</t>
  </si>
  <si>
    <t>26999</t>
  </si>
  <si>
    <t>77</t>
  </si>
  <si>
    <t>28929</t>
  </si>
  <si>
    <t>87</t>
  </si>
  <si>
    <t>26447</t>
  </si>
  <si>
    <t>88</t>
  </si>
  <si>
    <t>28227</t>
  </si>
  <si>
    <t>Grand Total</t>
  </si>
  <si>
    <t>متوسط الأداء في 2024</t>
  </si>
  <si>
    <t>متوسط الأداء في 2025</t>
  </si>
  <si>
    <t>متوسط التغير في اداء الموظف</t>
  </si>
  <si>
    <t>متوسط سنين الخبرة</t>
  </si>
  <si>
    <t>عدد الموظفين</t>
  </si>
  <si>
    <t>الاسم - الرقم الوظيفي</t>
  </si>
  <si>
    <t>27375-أحمد سمير</t>
  </si>
  <si>
    <t>30377-هدي محمد</t>
  </si>
  <si>
    <t>29369-أشرف أحمد</t>
  </si>
  <si>
    <t>27142-تامر خالد</t>
  </si>
  <si>
    <t>27650-حازم أحمد</t>
  </si>
  <si>
    <t>25906-يوسف أحمد</t>
  </si>
  <si>
    <t>26439-أحمد فريد</t>
  </si>
  <si>
    <t>26438-نورهان أحمد</t>
  </si>
  <si>
    <t>31456-منه محمود</t>
  </si>
  <si>
    <t>27141-منه أحمد</t>
  </si>
  <si>
    <t>26448-هند بهاء</t>
  </si>
  <si>
    <t>26437-مارك يوسف</t>
  </si>
  <si>
    <t>27960-يحيي هادي</t>
  </si>
  <si>
    <t>27003-نغم محمد</t>
  </si>
  <si>
    <t>26440-محمد أحمد</t>
  </si>
  <si>
    <t>26433-أحمد حسن</t>
  </si>
  <si>
    <t>31457-محمد علاء</t>
  </si>
  <si>
    <t>27648-علي محمد</t>
  </si>
  <si>
    <t>27858-أحمد سمير</t>
  </si>
  <si>
    <t>26444-مهاب أسامة</t>
  </si>
  <si>
    <t>28126-عبد الرحمن محمد</t>
  </si>
  <si>
    <t>26413-تامر خالد</t>
  </si>
  <si>
    <t>26347-هند بهاء</t>
  </si>
  <si>
    <t>26430-محمد راضي</t>
  </si>
  <si>
    <t>26991-محمد أحمد</t>
  </si>
  <si>
    <t>27618-أحمد حسن</t>
  </si>
  <si>
    <t>28166-الاء أحمد</t>
  </si>
  <si>
    <t>27004-كامل عصام</t>
  </si>
  <si>
    <t>27649-هدي محمد</t>
  </si>
  <si>
    <t>26998-أشرف أحمد</t>
  </si>
  <si>
    <t>31455-خالد محمد</t>
  </si>
  <si>
    <t>26425-أحمد فريد</t>
  </si>
  <si>
    <t>26421-نورهان أحمد</t>
  </si>
  <si>
    <t>26419-منه محمود</t>
  </si>
  <si>
    <t>28927-منه أحمد</t>
  </si>
  <si>
    <t>26748-هند بهاء</t>
  </si>
  <si>
    <t>27494-محمد راضي</t>
  </si>
  <si>
    <t>29769-علي محمد</t>
  </si>
  <si>
    <t>26401-خالد محمد</t>
  </si>
  <si>
    <t>26435-نسمة كامل</t>
  </si>
  <si>
    <t>26410-تغريد يحيي</t>
  </si>
  <si>
    <t>27385-حسن أحمد</t>
  </si>
  <si>
    <t>26389-مؤمن محمد</t>
  </si>
  <si>
    <t>30459-حسين ياسر</t>
  </si>
  <si>
    <t>27780-محمد علاء</t>
  </si>
  <si>
    <t>25907-علي محمد</t>
  </si>
  <si>
    <t>27144-تامر خالد</t>
  </si>
  <si>
    <t>26434-أحمد حسن</t>
  </si>
  <si>
    <t>27154-مهاب أسامة</t>
  </si>
  <si>
    <t>27008-ايمان علي سلامة</t>
  </si>
  <si>
    <t>27621-الاء أحمد</t>
  </si>
  <si>
    <t>27374-مؤمن محمد</t>
  </si>
  <si>
    <t>29368-حسين ياسر</t>
  </si>
  <si>
    <t>27092-فادي نور</t>
  </si>
  <si>
    <t>26429-نور يحيي</t>
  </si>
  <si>
    <t>26994-هدي محمد</t>
  </si>
  <si>
    <t>27007-أشرف أحمد</t>
  </si>
  <si>
    <t>26424-خالد محمد</t>
  </si>
  <si>
    <t>26415-نسمة كامل</t>
  </si>
  <si>
    <t>27143-يوسف أحمد</t>
  </si>
  <si>
    <t>27393-أحمد فريد</t>
  </si>
  <si>
    <t>30351-نورهان أحمد</t>
  </si>
  <si>
    <t>26441-منه محمود</t>
  </si>
  <si>
    <t>27009-يحيي هادي</t>
  </si>
  <si>
    <t>26428-تغريد يحيي</t>
  </si>
  <si>
    <t>26417-حسن أحمد</t>
  </si>
  <si>
    <t>27150-هالة عبد العال</t>
  </si>
  <si>
    <t>26399-نسمة كامل</t>
  </si>
  <si>
    <t>26442-ندي إبراهيم</t>
  </si>
  <si>
    <t>25908-عبد الرحمن محمد</t>
  </si>
  <si>
    <t>26446-محمد علاء</t>
  </si>
  <si>
    <t>26412-كامل عصام</t>
  </si>
  <si>
    <t>25905-اسراء عصام</t>
  </si>
  <si>
    <t>30350-ندي إبراهيم</t>
  </si>
  <si>
    <t>30349-منه أحمد</t>
  </si>
  <si>
    <t>30460-نغم محمد</t>
  </si>
  <si>
    <t>28127-سارة احمد محمد</t>
  </si>
  <si>
    <t>26422-ندي إبراهيم</t>
  </si>
  <si>
    <t>26414-عبد الرحمن محمد</t>
  </si>
  <si>
    <t>30352-مي محمد ابراهيم</t>
  </si>
  <si>
    <t>26726-محمد راضي</t>
  </si>
  <si>
    <t>26431-مروة محمد عبدالله</t>
  </si>
  <si>
    <t>26396-هالة عبد العال</t>
  </si>
  <si>
    <t>26445-الاء أحمد</t>
  </si>
  <si>
    <t>26400-كامل عصام</t>
  </si>
  <si>
    <t>26443-حازم أحمد</t>
  </si>
  <si>
    <t>26610-فادي نور</t>
  </si>
  <si>
    <t>26404-نور يحيي</t>
  </si>
  <si>
    <t>26402-اسراء عصام</t>
  </si>
  <si>
    <t>26427-مارك يوسف</t>
  </si>
  <si>
    <t>26999-أحمد سمير</t>
  </si>
  <si>
    <t>28929-مهاب أسامة</t>
  </si>
  <si>
    <t>26447-حازم أحمد</t>
  </si>
  <si>
    <t>28227-يوسف أحمد</t>
  </si>
  <si>
    <t>متوسط العمر</t>
  </si>
  <si>
    <t>متوسط الأداء للموظفين في 2024</t>
  </si>
  <si>
    <t>متوسط الأداء للموظفين في 2025</t>
  </si>
  <si>
    <t xml:space="preserve"> متوسط الاداء الكلي</t>
  </si>
  <si>
    <t>متوسط الأداء في عامي 2024 و 2025 لكل قسم</t>
  </si>
  <si>
    <t>متوسط الأداء الكلي لكل قسم</t>
  </si>
  <si>
    <t xml:space="preserve">متوسط الأداء الكلي بالنسبة لسنين الخبرة </t>
  </si>
  <si>
    <t xml:space="preserve">متوسط الأداء الكلي بالنسبة للعمر </t>
  </si>
  <si>
    <t>عدد الموظفين لكل مؤهل دراسي</t>
  </si>
  <si>
    <t>اجمالي المرتبات</t>
  </si>
  <si>
    <t>متوسط المرتبات</t>
  </si>
  <si>
    <t>ادني مرتب</t>
  </si>
  <si>
    <t>اقصي مرتب</t>
  </si>
  <si>
    <t>الموهل الدراسي</t>
  </si>
  <si>
    <t>متوسط المرتبات لكل مؤهل دراسي</t>
  </si>
  <si>
    <t>متوسط المرتبات بالنسبة للعمر</t>
  </si>
  <si>
    <t xml:space="preserve">عدد سنين الخبرة </t>
  </si>
  <si>
    <t>متوسط الراتب</t>
  </si>
  <si>
    <t>متوسط الراتب بالنسبة لسنين الخبرة</t>
  </si>
  <si>
    <t>متوسط الراتب لكل موقع</t>
  </si>
  <si>
    <t>متوسط الراتب لكل قسم</t>
  </si>
  <si>
    <t>متوسط الأداء الكلي و متوسط الراتب لكل قسم</t>
  </si>
  <si>
    <t>عدد الموظفين في كل وظيفة لكل قسم</t>
  </si>
  <si>
    <t>HR Report</t>
  </si>
  <si>
    <t xml:space="preserve">Employee Performance
Dashboard </t>
  </si>
  <si>
    <t>Employee Salaries
Dashboard</t>
  </si>
  <si>
    <t xml:space="preserve">متوسط الأداء الكلي لاعلي 10 موظفين </t>
  </si>
  <si>
    <t>Home</t>
  </si>
  <si>
    <t>36-40</t>
  </si>
  <si>
    <t>41-45</t>
  </si>
  <si>
    <t>46-50</t>
  </si>
  <si>
    <t>51-55</t>
  </si>
  <si>
    <t>56-60</t>
  </si>
  <si>
    <t>61-66</t>
  </si>
  <si>
    <t>11-15</t>
  </si>
  <si>
    <t>16-20</t>
  </si>
  <si>
    <t>21-25</t>
  </si>
  <si>
    <t>26-30</t>
  </si>
  <si>
    <t>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</si>
</sst>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0.0"/>
    <numFmt numFmtId="166" formatCode="0.0%"/>
    <numFmt numFmtId="167" formatCode="_-[$EGP]\ * #,##0.00_-;\-[$EGP]\ * #,##0.00_-;_-[$EGP]\ * &quot;-&quot;??_-;_-@_-"/>
    <numFmt numFmtId="168" formatCode="_-[$EGP]\ * #,##0_-;\-[$EGP]\ * #,##0_-;_-[$EGP]\ * &quot;-&quot;_-;_-@_-"/>
    <numFmt numFmtId="169"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i/>
      <sz val="12"/>
      <color theme="1"/>
      <name val="Calibri"/>
      <family val="2"/>
      <scheme val="minor"/>
    </font>
    <font>
      <sz val="18"/>
      <color rgb="FF0B192C"/>
      <name val="Broadway"/>
      <family val="5"/>
    </font>
    <font>
      <sz val="18"/>
      <color rgb="FFFF6500"/>
      <name val="Broadway"/>
      <family val="5"/>
    </font>
    <font>
      <sz val="36"/>
      <color rgb="FFFF6500"/>
      <name val="Broadway"/>
      <family val="5"/>
    </font>
  </fonts>
  <fills count="3">
    <fill>
      <patternFill patternType="none"/>
    </fill>
    <fill>
      <patternFill patternType="gray125"/>
    </fill>
    <fill>
      <patternFill patternType="solid">
        <fgColor rgb="FFFF6500"/>
        <bgColor indexed="64"/>
      </patternFill>
    </fill>
  </fills>
  <borders count="10">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41">
    <xf numFmtId="0" fontId="0" fillId="0" borderId="0" xfId="0"/>
    <xf numFmtId="22" fontId="0" fillId="0" borderId="0" xfId="0" applyNumberFormat="1"/>
    <xf numFmtId="0" fontId="0" fillId="0" borderId="0" xfId="0" applyAlignment="1">
      <alignment horizontal="center"/>
    </xf>
    <xf numFmtId="9" fontId="0" fillId="0" borderId="0" xfId="1" applyFont="1" applyAlignment="1"/>
    <xf numFmtId="9" fontId="0" fillId="0" borderId="0" xfId="1" applyFont="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9" fontId="0" fillId="0" borderId="0" xfId="0" applyNumberFormat="1"/>
    <xf numFmtId="2" fontId="0" fillId="0" borderId="0" xfId="0" applyNumberFormat="1" applyAlignment="1">
      <alignment horizontal="center"/>
    </xf>
    <xf numFmtId="1" fontId="0" fillId="0" borderId="0" xfId="0" applyNumberFormat="1" applyAlignment="1">
      <alignment horizontal="center"/>
    </xf>
    <xf numFmtId="165" fontId="0" fillId="0" borderId="0" xfId="0" applyNumberFormat="1"/>
    <xf numFmtId="166" fontId="0" fillId="0" borderId="0" xfId="1" applyNumberFormat="1" applyFont="1" applyAlignment="1">
      <alignment horizontal="center"/>
    </xf>
    <xf numFmtId="166" fontId="0" fillId="0" borderId="0" xfId="0" applyNumberFormat="1"/>
    <xf numFmtId="1" fontId="0" fillId="0" borderId="0" xfId="0" applyNumberFormat="1"/>
    <xf numFmtId="167" fontId="0" fillId="0" borderId="0" xfId="0" applyNumberFormat="1" applyAlignment="1">
      <alignment horizontal="center"/>
    </xf>
    <xf numFmtId="168" fontId="0" fillId="0" borderId="0" xfId="0" applyNumberFormat="1"/>
    <xf numFmtId="0" fontId="3" fillId="0" borderId="0" xfId="0" applyFont="1"/>
    <xf numFmtId="0" fontId="4" fillId="0" borderId="0" xfId="0" applyFont="1" applyAlignment="1">
      <alignment vertical="center" wrapText="1"/>
    </xf>
    <xf numFmtId="0" fontId="5" fillId="0" borderId="0" xfId="0" applyFont="1" applyAlignment="1">
      <alignment horizontal="center"/>
    </xf>
    <xf numFmtId="9" fontId="0" fillId="0" borderId="0" xfId="1" applyFont="1"/>
    <xf numFmtId="0" fontId="0" fillId="0" borderId="0" xfId="1" applyNumberFormat="1" applyFont="1"/>
    <xf numFmtId="169" fontId="0" fillId="0" borderId="0" xfId="0" applyNumberFormat="1"/>
    <xf numFmtId="169" fontId="0" fillId="0" borderId="0" xfId="2" applyNumberFormat="1" applyFont="1"/>
    <xf numFmtId="0" fontId="0" fillId="2" borderId="0" xfId="0" applyFill="1"/>
    <xf numFmtId="0" fontId="0" fillId="0" borderId="2" xfId="0" applyBorder="1"/>
    <xf numFmtId="0" fontId="2" fillId="0" borderId="0" xfId="0" applyFont="1" applyAlignment="1">
      <alignment horizontal="center"/>
    </xf>
    <xf numFmtId="0" fontId="0" fillId="0" borderId="0" xfId="0" applyAlignment="1">
      <alignment horizontal="center"/>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0" fillId="0" borderId="0" xfId="0" applyNumberFormat="1"/>
  </cellXfs>
  <cellStyles count="3">
    <cellStyle name="Comma" xfId="2" builtinId="3"/>
    <cellStyle name="Normal" xfId="0" builtinId="0"/>
    <cellStyle name="Percent" xfId="1" builtinId="5"/>
  </cellStyles>
  <dxfs count="379">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8" formatCode="_-[$EGP]\ * #,##0_-;\-[$EGP]\ * #,##0_-;_-[$EGP]\ * &quot;-&quot;_-;_-@_-"/>
    </dxf>
    <dxf>
      <numFmt numFmtId="168" formatCode="_-[$EGP]\ * #,##0_-;\-[$EGP]\ * #,##0_-;_-[$EGP]\ * &quot;-&quot;_-;_-@_-"/>
    </dxf>
    <dxf>
      <numFmt numFmtId="168" formatCode="_-[$EGP]\ * #,##0_-;\-[$EGP]\ * #,##0_-;_-[$EGP]\ * &quot;-&quot;_-;_-@_-"/>
    </dxf>
    <dxf>
      <numFmt numFmtId="168" formatCode="_-[$EGP]\ * #,##0_-;\-[$EGP]\ * #,##0_-;_-[$EGP]\ * &quot;-&quot;_-;_-@_-"/>
    </dxf>
    <dxf>
      <numFmt numFmtId="169" formatCode="_(* #,##0_);_(* \(#,##0\);_(* &quot;-&quot;??_);_(@_)"/>
    </dxf>
    <dxf>
      <numFmt numFmtId="168" formatCode="_-[$EGP]\ * #,##0_-;\-[$EGP]\ * #,##0_-;_-[$EGP]\ * &quot;-&quot;_-;_-@_-"/>
    </dxf>
    <dxf>
      <numFmt numFmtId="168" formatCode="_-[$EGP]\ * #,##0_-;\-[$EGP]\ * #,##0_-;_-[$EGP]\ * &quot;-&quot;_-;_-@_-"/>
    </dxf>
    <dxf>
      <numFmt numFmtId="168" formatCode="_-[$EGP]\ * #,##0_-;\-[$EGP]\ * #,##0_-;_-[$EGP]\ * &quot;-&quot;_-;_-@_-"/>
    </dxf>
    <dxf>
      <numFmt numFmtId="14" formatCode="0.00%"/>
    </dxf>
    <dxf>
      <numFmt numFmtId="166"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6" formatCode="0.0%"/>
    </dxf>
    <dxf>
      <numFmt numFmtId="166" formatCode="0.0%"/>
    </dxf>
    <dxf>
      <numFmt numFmtId="165" formatCode="0.0"/>
    </dxf>
    <dxf>
      <numFmt numFmtId="165" formatCode="0.0"/>
    </dxf>
    <dxf>
      <numFmt numFmtId="166" formatCode="0.0%"/>
    </dxf>
    <dxf>
      <numFmt numFmtId="168" formatCode="_-[$EGP]\ * #,##0_-;\-[$EGP]\ * #,##0_-;_-[$EGP]\ * &quot;-&quot;_-;_-@_-"/>
    </dxf>
    <dxf>
      <numFmt numFmtId="166" formatCode="0.0%"/>
    </dxf>
    <dxf>
      <numFmt numFmtId="166" formatCode="0.0%"/>
    </dxf>
    <dxf>
      <numFmt numFmtId="14" formatCode="0.00%"/>
    </dxf>
    <dxf>
      <numFmt numFmtId="168" formatCode="_-[$EGP]\ * #,##0_-;\-[$EGP]\ * #,##0_-;_-[$EGP]\ * &quot;-&quot;_-;_-@_-"/>
    </dxf>
    <dxf>
      <numFmt numFmtId="166" formatCode="0.0%"/>
    </dxf>
    <dxf>
      <numFmt numFmtId="169" formatCode="_(* #,##0_);_(* \(#,##0\);_(* &quot;-&quot;??_);_(@_)"/>
    </dxf>
    <dxf>
      <numFmt numFmtId="168" formatCode="_-[$EGP]\ * #,##0_-;\-[$EGP]\ * #,##0_-;_-[$EGP]\ * &quot;-&quot;_-;_-@_-"/>
    </dxf>
    <dxf>
      <numFmt numFmtId="166" formatCode="0.0%"/>
    </dxf>
    <dxf>
      <numFmt numFmtId="168" formatCode="_-[$EGP]\ * #,##0_-;\-[$EGP]\ * #,##0_-;_-[$EGP]\ * &quot;-&quot;_-;_-@_-"/>
    </dxf>
    <dxf>
      <numFmt numFmtId="168" formatCode="_-[$EGP]\ * #,##0_-;\-[$EGP]\ * #,##0_-;_-[$EGP]\ * &quot;-&quot;_-;_-@_-"/>
    </dxf>
    <dxf>
      <numFmt numFmtId="168" formatCode="_-[$EGP]\ * #,##0_-;\-[$EGP]\ * #,##0_-;_-[$EGP]\ * &quot;-&quot;_-;_-@_-"/>
    </dxf>
    <dxf>
      <numFmt numFmtId="166" formatCode="0.0%"/>
    </dxf>
    <dxf>
      <numFmt numFmtId="165" formatCode="0.0"/>
    </dxf>
    <dxf>
      <numFmt numFmtId="165" formatCode="0.0"/>
    </dxf>
    <dxf>
      <numFmt numFmtId="168" formatCode="_-[$EGP]\ * #,##0_-;\-[$EGP]\ * #,##0_-;_-[$EGP]\ * &quot;-&quot;_-;_-@_-"/>
    </dxf>
    <dxf>
      <numFmt numFmtId="0" formatCode="General"/>
    </dxf>
    <dxf>
      <alignment horizontal="center" vertical="bottom" textRotation="0" wrapText="0" indent="0" justifyLastLine="0" shrinkToFit="0" readingOrder="0"/>
    </dxf>
    <dxf>
      <numFmt numFmtId="166"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EGP]\ * #,##0.00_-;\-[$EGP]\ * #,##0.00_-;_-[$EGP]\ *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170" formatCode="m/d/yyyy\ h:mm"/>
    </dxf>
    <dxf>
      <numFmt numFmtId="170" formatCode="m/d/yyyy\ h:mm"/>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170" formatCode="m/d/yyyy\ h:mm"/>
    </dxf>
    <dxf>
      <numFmt numFmtId="170" formatCode="m/d/yyyy\ h:mm"/>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170" formatCode="m/d/yyyy\ h:mm"/>
    </dxf>
    <dxf>
      <numFmt numFmtId="170" formatCode="m/d/yyyy\ h:mm"/>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170" formatCode="m/d/yyyy\ h:mm"/>
    </dxf>
    <dxf>
      <numFmt numFmtId="170" formatCode="m/d/yyyy\ h:mm"/>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170" formatCode="m/d/yyyy\ h:mm"/>
    </dxf>
    <dxf>
      <numFmt numFmtId="170" formatCode="m/d/yyyy\ h:mm"/>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font>
        <b/>
        <i val="0"/>
        <sz val="24"/>
        <color rgb="FFFF6500"/>
      </font>
      <fill>
        <patternFill>
          <bgColor theme="1"/>
        </patternFill>
      </fill>
    </dxf>
    <dxf>
      <font>
        <b/>
        <i val="0"/>
        <sz val="20"/>
      </font>
      <fill>
        <patternFill>
          <bgColor theme="1"/>
        </patternFill>
      </fill>
    </dxf>
  </dxfs>
  <tableStyles count="1" defaultTableStyle="TableStyleMedium2" defaultPivotStyle="PivotStyleLight16">
    <tableStyle name="Slicer Style 1" pivot="0" table="0" count="6" xr9:uid="{DDED47A5-8C90-4C4D-B03A-15E0D0888468}">
      <tableStyleElement type="wholeTable" dxfId="378"/>
      <tableStyleElement type="headerRow" dxfId="377"/>
    </tableStyle>
  </tableStyles>
  <colors>
    <mruColors>
      <color rgb="FFFF6500"/>
      <color rgb="FFEB8317"/>
      <color rgb="FF0B192C"/>
      <color rgb="FF1E3E62"/>
      <color rgb="FFF3C623"/>
    </mruColors>
  </colors>
  <extLst>
    <ext xmlns:x14="http://schemas.microsoft.com/office/spreadsheetml/2009/9/main" uri="{46F421CA-312F-682f-3DD2-61675219B42D}">
      <x14:dxfs count="4">
        <dxf>
          <font>
            <sz val="26"/>
            <color rgb="FFFF6500"/>
          </font>
        </dxf>
        <dxf>
          <font>
            <sz val="26"/>
            <color theme="0"/>
          </font>
        </dxf>
        <dxf>
          <font>
            <b/>
            <i val="0"/>
            <sz val="20"/>
            <color rgb="FFFF6500"/>
          </font>
        </dxf>
        <dxf>
          <font>
            <b/>
            <i val="0"/>
            <sz val="24"/>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Tables!PivotTable3</c:name>
    <c:fmtId val="4"/>
  </c:pivotSource>
  <c:chart>
    <c:title>
      <c:tx>
        <c:rich>
          <a:bodyPr rot="0" spcFirstLastPara="1" vertOverflow="ellipsis" vert="horz" wrap="square" anchor="ctr" anchorCtr="1"/>
          <a:lstStyle/>
          <a:p>
            <a:pPr>
              <a:defRPr sz="1400" b="0"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الأداء في عامي 2024 و 2025 لكل قسم</a:t>
            </a:r>
            <a:r>
              <a:rPr lang="ar-EG" sz="2400" b="1" i="0" u="none" strike="noStrike" baseline="0">
                <a:solidFill>
                  <a:srgbClr val="FF6500"/>
                </a:solidFill>
              </a:rPr>
              <a:t> </a:t>
            </a:r>
            <a:endParaRPr lang="en-US" sz="2400" b="1">
              <a:solidFill>
                <a:srgbClr val="FF65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65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pivotFmt>
      <c:pivotFmt>
        <c:idx val="7"/>
        <c:spPr>
          <a:ln w="28575" cap="rnd">
            <a:solidFill>
              <a:schemeClr val="accent2"/>
            </a:solidFill>
            <a:round/>
          </a:ln>
          <a:effectLst/>
        </c:spPr>
        <c:marker>
          <c:symbol val="none"/>
        </c:marker>
        <c:dLbl>
          <c:idx val="0"/>
          <c:layout>
            <c:manualLayout>
              <c:x val="3.2364734055238077E-2"/>
              <c:y val="7.445254297692430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3.9178362277393408E-2"/>
              <c:y val="4.963502865128284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3.0661326999699163E-2"/>
              <c:y val="5.273721794198808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2.3847698777543891E-2"/>
              <c:y val="6.204378581410357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2.3847698777543891E-2"/>
              <c:y val="6.824816439551392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06137905999307E-2"/>
          <c:y val="0.19603087295954577"/>
          <c:w val="0.88658772418800136"/>
          <c:h val="0.70406553110953396"/>
        </c:manualLayout>
      </c:layout>
      <c:barChart>
        <c:barDir val="col"/>
        <c:grouping val="clustered"/>
        <c:varyColors val="0"/>
        <c:ser>
          <c:idx val="0"/>
          <c:order val="0"/>
          <c:tx>
            <c:strRef>
              <c:f>'Pivot Tables'!$B$14</c:f>
              <c:strCache>
                <c:ptCount val="1"/>
                <c:pt idx="0">
                  <c:v>متوسط الأداء في 2024</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Tables'!$A$15:$A$20</c:f>
              <c:strCache>
                <c:ptCount val="5"/>
                <c:pt idx="0">
                  <c:v>Marketing</c:v>
                </c:pt>
                <c:pt idx="1">
                  <c:v>HR</c:v>
                </c:pt>
                <c:pt idx="2">
                  <c:v>Sales</c:v>
                </c:pt>
                <c:pt idx="3">
                  <c:v>Finance</c:v>
                </c:pt>
                <c:pt idx="4">
                  <c:v>IT</c:v>
                </c:pt>
              </c:strCache>
            </c:strRef>
          </c:cat>
          <c:val>
            <c:numRef>
              <c:f>'Pivot Tables'!$B$15:$B$20</c:f>
              <c:numCache>
                <c:formatCode>0.0%</c:formatCode>
                <c:ptCount val="5"/>
                <c:pt idx="0">
                  <c:v>0.83166666666666655</c:v>
                </c:pt>
                <c:pt idx="1">
                  <c:v>0.823913043478261</c:v>
                </c:pt>
                <c:pt idx="2">
                  <c:v>0.82108108108108113</c:v>
                </c:pt>
                <c:pt idx="3">
                  <c:v>0.80500000000000005</c:v>
                </c:pt>
                <c:pt idx="4">
                  <c:v>0.78999999999999992</c:v>
                </c:pt>
              </c:numCache>
            </c:numRef>
          </c:val>
          <c:extLst>
            <c:ext xmlns:c16="http://schemas.microsoft.com/office/drawing/2014/chart" uri="{C3380CC4-5D6E-409C-BE32-E72D297353CC}">
              <c16:uniqueId val="{00000000-8566-4F8E-8A9B-F61FD0FA39CF}"/>
            </c:ext>
          </c:extLst>
        </c:ser>
        <c:dLbls>
          <c:showLegendKey val="0"/>
          <c:showVal val="1"/>
          <c:showCatName val="0"/>
          <c:showSerName val="0"/>
          <c:showPercent val="0"/>
          <c:showBubbleSize val="0"/>
        </c:dLbls>
        <c:gapWidth val="219"/>
        <c:overlap val="-27"/>
        <c:axId val="1283270920"/>
        <c:axId val="1283277400"/>
      </c:barChart>
      <c:lineChart>
        <c:grouping val="standard"/>
        <c:varyColors val="0"/>
        <c:ser>
          <c:idx val="1"/>
          <c:order val="1"/>
          <c:tx>
            <c:strRef>
              <c:f>'Pivot Tables'!$C$14</c:f>
              <c:strCache>
                <c:ptCount val="1"/>
                <c:pt idx="0">
                  <c:v>متوسط الأداء في 2025</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7-8566-4F8E-8A9B-F61FD0FA39CF}"/>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6-8566-4F8E-8A9B-F61FD0FA39CF}"/>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8566-4F8E-8A9B-F61FD0FA39CF}"/>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8566-4F8E-8A9B-F61FD0FA39CF}"/>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8566-4F8E-8A9B-F61FD0FA39CF}"/>
              </c:ext>
            </c:extLst>
          </c:dPt>
          <c:dLbls>
            <c:dLbl>
              <c:idx val="0"/>
              <c:layout>
                <c:manualLayout>
                  <c:x val="2.3847698777543891E-2"/>
                  <c:y val="6.8248164395513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66-4F8E-8A9B-F61FD0FA39CF}"/>
                </c:ext>
              </c:extLst>
            </c:dLbl>
            <c:dLbl>
              <c:idx val="1"/>
              <c:layout>
                <c:manualLayout>
                  <c:x val="2.3847698777543891E-2"/>
                  <c:y val="6.2043785814103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66-4F8E-8A9B-F61FD0FA39CF}"/>
                </c:ext>
              </c:extLst>
            </c:dLbl>
            <c:dLbl>
              <c:idx val="2"/>
              <c:layout>
                <c:manualLayout>
                  <c:x val="3.2364734055238077E-2"/>
                  <c:y val="7.4452542976924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66-4F8E-8A9B-F61FD0FA39CF}"/>
                </c:ext>
              </c:extLst>
            </c:dLbl>
            <c:dLbl>
              <c:idx val="3"/>
              <c:layout>
                <c:manualLayout>
                  <c:x val="3.9178362277393408E-2"/>
                  <c:y val="4.96350286512828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66-4F8E-8A9B-F61FD0FA39CF}"/>
                </c:ext>
              </c:extLst>
            </c:dLbl>
            <c:dLbl>
              <c:idx val="4"/>
              <c:layout>
                <c:manualLayout>
                  <c:x val="3.0661326999699163E-2"/>
                  <c:y val="5.2737217941988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66-4F8E-8A9B-F61FD0FA39CF}"/>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Tables'!$A$15:$A$20</c:f>
              <c:strCache>
                <c:ptCount val="5"/>
                <c:pt idx="0">
                  <c:v>Marketing</c:v>
                </c:pt>
                <c:pt idx="1">
                  <c:v>HR</c:v>
                </c:pt>
                <c:pt idx="2">
                  <c:v>Sales</c:v>
                </c:pt>
                <c:pt idx="3">
                  <c:v>Finance</c:v>
                </c:pt>
                <c:pt idx="4">
                  <c:v>IT</c:v>
                </c:pt>
              </c:strCache>
            </c:strRef>
          </c:cat>
          <c:val>
            <c:numRef>
              <c:f>'Pivot Tables'!$C$15:$C$20</c:f>
              <c:numCache>
                <c:formatCode>0.0%</c:formatCode>
                <c:ptCount val="5"/>
                <c:pt idx="0">
                  <c:v>0.71888888888888891</c:v>
                </c:pt>
                <c:pt idx="1">
                  <c:v>0.68043478260869572</c:v>
                </c:pt>
                <c:pt idx="2">
                  <c:v>0.6954054054054053</c:v>
                </c:pt>
                <c:pt idx="3">
                  <c:v>0.74299999999999999</c:v>
                </c:pt>
                <c:pt idx="4">
                  <c:v>0.78833333333333322</c:v>
                </c:pt>
              </c:numCache>
            </c:numRef>
          </c:val>
          <c:smooth val="0"/>
          <c:extLst>
            <c:ext xmlns:c16="http://schemas.microsoft.com/office/drawing/2014/chart" uri="{C3380CC4-5D6E-409C-BE32-E72D297353CC}">
              <c16:uniqueId val="{00000001-8566-4F8E-8A9B-F61FD0FA39CF}"/>
            </c:ext>
          </c:extLst>
        </c:ser>
        <c:dLbls>
          <c:showLegendKey val="0"/>
          <c:showVal val="1"/>
          <c:showCatName val="0"/>
          <c:showSerName val="0"/>
          <c:showPercent val="0"/>
          <c:showBubbleSize val="0"/>
        </c:dLbls>
        <c:marker val="1"/>
        <c:smooth val="0"/>
        <c:axId val="1283280280"/>
        <c:axId val="1283284240"/>
      </c:lineChart>
      <c:catAx>
        <c:axId val="12832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1283277400"/>
        <c:crosses val="autoZero"/>
        <c:auto val="1"/>
        <c:lblAlgn val="ctr"/>
        <c:lblOffset val="100"/>
        <c:noMultiLvlLbl val="0"/>
      </c:catAx>
      <c:valAx>
        <c:axId val="1283277400"/>
        <c:scaling>
          <c:orientation val="minMax"/>
        </c:scaling>
        <c:delete val="1"/>
        <c:axPos val="l"/>
        <c:title>
          <c:tx>
            <c:rich>
              <a:bodyPr rot="-540000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a:solidFill>
                      <a:schemeClr val="bg1"/>
                    </a:solidFill>
                  </a:rPr>
                  <a:t>2024</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numFmt formatCode="0.0%" sourceLinked="1"/>
        <c:majorTickMark val="none"/>
        <c:minorTickMark val="none"/>
        <c:tickLblPos val="nextTo"/>
        <c:crossAx val="1283270920"/>
        <c:crosses val="autoZero"/>
        <c:crossBetween val="between"/>
      </c:valAx>
      <c:valAx>
        <c:axId val="1283284240"/>
        <c:scaling>
          <c:orientation val="minMax"/>
        </c:scaling>
        <c:delete val="1"/>
        <c:axPos val="r"/>
        <c:title>
          <c:tx>
            <c:rich>
              <a:bodyPr rot="-5400000" spcFirstLastPara="1" vertOverflow="ellipsis" vert="horz" wrap="square" anchor="ctr" anchorCtr="1"/>
              <a:lstStyle/>
              <a:p>
                <a:pPr>
                  <a:defRPr sz="1600" b="1" i="0" u="none" strike="noStrike" kern="1200" baseline="0">
                    <a:solidFill>
                      <a:srgbClr val="FF6500"/>
                    </a:solidFill>
                    <a:latin typeface="+mn-lt"/>
                    <a:ea typeface="+mn-ea"/>
                    <a:cs typeface="+mn-cs"/>
                  </a:defRPr>
                </a:pPr>
                <a:r>
                  <a:rPr lang="en-US" sz="1600" b="1">
                    <a:solidFill>
                      <a:srgbClr val="FF6500"/>
                    </a:solidFill>
                  </a:rPr>
                  <a:t>2025</a:t>
                </a:r>
              </a:p>
            </c:rich>
          </c:tx>
          <c:overlay val="0"/>
          <c:spPr>
            <a:noFill/>
            <a:ln>
              <a:noFill/>
            </a:ln>
            <a:effectLst/>
          </c:spPr>
          <c:txPr>
            <a:bodyPr rot="-5400000" spcFirstLastPara="1" vertOverflow="ellipsis" vert="horz" wrap="square" anchor="ctr" anchorCtr="1"/>
            <a:lstStyle/>
            <a:p>
              <a:pPr>
                <a:defRPr sz="1600" b="1" i="0" u="none" strike="noStrike" kern="1200" baseline="0">
                  <a:solidFill>
                    <a:srgbClr val="FF6500"/>
                  </a:solidFill>
                  <a:latin typeface="+mn-lt"/>
                  <a:ea typeface="+mn-ea"/>
                  <a:cs typeface="+mn-cs"/>
                </a:defRPr>
              </a:pPr>
              <a:endParaRPr lang="en-US"/>
            </a:p>
          </c:txPr>
        </c:title>
        <c:numFmt formatCode="0.0%" sourceLinked="1"/>
        <c:majorTickMark val="out"/>
        <c:minorTickMark val="none"/>
        <c:tickLblPos val="nextTo"/>
        <c:crossAx val="1283280280"/>
        <c:crosses val="max"/>
        <c:crossBetween val="between"/>
      </c:valAx>
      <c:catAx>
        <c:axId val="1283280280"/>
        <c:scaling>
          <c:orientation val="minMax"/>
        </c:scaling>
        <c:delete val="1"/>
        <c:axPos val="b"/>
        <c:numFmt formatCode="General" sourceLinked="1"/>
        <c:majorTickMark val="out"/>
        <c:minorTickMark val="none"/>
        <c:tickLblPos val="nextTo"/>
        <c:crossAx val="12832842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Tables!PivotTable10</c:name>
    <c:fmtId val="2"/>
  </c:pivotSource>
  <c:chart>
    <c:title>
      <c:tx>
        <c:rich>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الأداء الكلي لاعلي 10 موظفين </a:t>
            </a:r>
            <a:r>
              <a:rPr lang="ar-EG" sz="2400" b="0" i="0" u="none" strike="noStrike" baseline="0">
                <a:solidFill>
                  <a:srgbClr val="FF6500"/>
                </a:solidFill>
              </a:rPr>
              <a:t>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Tables'!$E$15:$E$26</c:f>
              <c:strCache>
                <c:ptCount val="11"/>
                <c:pt idx="0">
                  <c:v>27003-نغم محمد</c:v>
                </c:pt>
                <c:pt idx="1">
                  <c:v>30352-مي محمد ابراهيم</c:v>
                </c:pt>
                <c:pt idx="2">
                  <c:v>26991-محمد أحمد</c:v>
                </c:pt>
                <c:pt idx="3">
                  <c:v>26400-كامل عصام</c:v>
                </c:pt>
                <c:pt idx="4">
                  <c:v>26404-نور يحيي</c:v>
                </c:pt>
                <c:pt idx="5">
                  <c:v>27141-منه أحمد</c:v>
                </c:pt>
                <c:pt idx="6">
                  <c:v>25908-عبد الرحمن محمد</c:v>
                </c:pt>
                <c:pt idx="7">
                  <c:v>27858-أحمد سمير</c:v>
                </c:pt>
                <c:pt idx="8">
                  <c:v>26442-ندي إبراهيم</c:v>
                </c:pt>
                <c:pt idx="9">
                  <c:v>27780-محمد علاء</c:v>
                </c:pt>
                <c:pt idx="10">
                  <c:v>30377-هدي محمد</c:v>
                </c:pt>
              </c:strCache>
            </c:strRef>
          </c:cat>
          <c:val>
            <c:numRef>
              <c:f>'Pivot Tables'!$F$15:$F$26</c:f>
              <c:numCache>
                <c:formatCode>0.0%</c:formatCode>
                <c:ptCount val="11"/>
                <c:pt idx="0">
                  <c:v>0.87</c:v>
                </c:pt>
                <c:pt idx="1">
                  <c:v>0.87</c:v>
                </c:pt>
                <c:pt idx="2">
                  <c:v>0.875</c:v>
                </c:pt>
                <c:pt idx="3">
                  <c:v>0.9</c:v>
                </c:pt>
                <c:pt idx="4">
                  <c:v>0.90500000000000003</c:v>
                </c:pt>
                <c:pt idx="5">
                  <c:v>0.90500000000000003</c:v>
                </c:pt>
                <c:pt idx="6">
                  <c:v>0.91500000000000004</c:v>
                </c:pt>
                <c:pt idx="7">
                  <c:v>0.91500000000000004</c:v>
                </c:pt>
                <c:pt idx="8">
                  <c:v>0.91500000000000004</c:v>
                </c:pt>
                <c:pt idx="9">
                  <c:v>0.91500000000000004</c:v>
                </c:pt>
                <c:pt idx="10">
                  <c:v>0.92</c:v>
                </c:pt>
              </c:numCache>
            </c:numRef>
          </c:val>
          <c:extLst>
            <c:ext xmlns:c16="http://schemas.microsoft.com/office/drawing/2014/chart" uri="{C3380CC4-5D6E-409C-BE32-E72D297353CC}">
              <c16:uniqueId val="{00000000-5DF4-48B9-9CDC-D8431A72A09C}"/>
            </c:ext>
          </c:extLst>
        </c:ser>
        <c:dLbls>
          <c:dLblPos val="outEnd"/>
          <c:showLegendKey val="0"/>
          <c:showVal val="1"/>
          <c:showCatName val="0"/>
          <c:showSerName val="0"/>
          <c:showPercent val="0"/>
          <c:showBubbleSize val="0"/>
        </c:dLbls>
        <c:gapWidth val="182"/>
        <c:axId val="1283287480"/>
        <c:axId val="1283281360"/>
      </c:barChart>
      <c:catAx>
        <c:axId val="1283287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1283281360"/>
        <c:crosses val="autoZero"/>
        <c:auto val="1"/>
        <c:lblAlgn val="ctr"/>
        <c:lblOffset val="100"/>
        <c:noMultiLvlLbl val="0"/>
      </c:catAx>
      <c:valAx>
        <c:axId val="1283281360"/>
        <c:scaling>
          <c:orientation val="minMax"/>
        </c:scaling>
        <c:delete val="1"/>
        <c:axPos val="b"/>
        <c:numFmt formatCode="0.0%" sourceLinked="1"/>
        <c:majorTickMark val="none"/>
        <c:minorTickMark val="none"/>
        <c:tickLblPos val="nextTo"/>
        <c:crossAx val="128328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Tables!PivotTable5</c:name>
    <c:fmtId val="2"/>
  </c:pivotSource>
  <c:chart>
    <c:title>
      <c:tx>
        <c:rich>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الأداء الكلي لكل قسم</a:t>
            </a:r>
            <a:r>
              <a:rPr lang="ar-EG" sz="2400" b="1" i="0" u="none" strike="noStrike" baseline="0">
                <a:solidFill>
                  <a:srgbClr val="FF6500"/>
                </a:solidFill>
              </a:rPr>
              <a:t> </a:t>
            </a:r>
            <a:endParaRPr lang="en-US" sz="2400" b="1">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Tables'!$H$15:$H$20</c:f>
              <c:strCache>
                <c:ptCount val="5"/>
                <c:pt idx="0">
                  <c:v>IT</c:v>
                </c:pt>
                <c:pt idx="1">
                  <c:v>Marketing</c:v>
                </c:pt>
                <c:pt idx="2">
                  <c:v>Finance</c:v>
                </c:pt>
                <c:pt idx="3">
                  <c:v>Sales</c:v>
                </c:pt>
                <c:pt idx="4">
                  <c:v>HR</c:v>
                </c:pt>
              </c:strCache>
            </c:strRef>
          </c:cat>
          <c:val>
            <c:numRef>
              <c:f>'Pivot Tables'!$I$15:$I$20</c:f>
              <c:numCache>
                <c:formatCode>0.0%</c:formatCode>
                <c:ptCount val="5"/>
                <c:pt idx="0">
                  <c:v>0.7891666666666669</c:v>
                </c:pt>
                <c:pt idx="1">
                  <c:v>0.77527777777777784</c:v>
                </c:pt>
                <c:pt idx="2">
                  <c:v>0.77400000000000002</c:v>
                </c:pt>
                <c:pt idx="3">
                  <c:v>0.75824324324324333</c:v>
                </c:pt>
                <c:pt idx="4">
                  <c:v>0.75217391304347825</c:v>
                </c:pt>
              </c:numCache>
            </c:numRef>
          </c:val>
          <c:extLst>
            <c:ext xmlns:c16="http://schemas.microsoft.com/office/drawing/2014/chart" uri="{C3380CC4-5D6E-409C-BE32-E72D297353CC}">
              <c16:uniqueId val="{00000000-F028-4307-A0A6-9FBCEE7DA2B5}"/>
            </c:ext>
          </c:extLst>
        </c:ser>
        <c:dLbls>
          <c:dLblPos val="outEnd"/>
          <c:showLegendKey val="0"/>
          <c:showVal val="1"/>
          <c:showCatName val="0"/>
          <c:showSerName val="0"/>
          <c:showPercent val="0"/>
          <c:showBubbleSize val="0"/>
        </c:dLbls>
        <c:gapWidth val="219"/>
        <c:overlap val="-27"/>
        <c:axId val="1386023640"/>
        <c:axId val="1386032280"/>
      </c:barChart>
      <c:catAx>
        <c:axId val="1386023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1386032280"/>
        <c:crosses val="autoZero"/>
        <c:auto val="1"/>
        <c:lblAlgn val="ctr"/>
        <c:lblOffset val="100"/>
        <c:noMultiLvlLbl val="0"/>
      </c:catAx>
      <c:valAx>
        <c:axId val="1386032280"/>
        <c:scaling>
          <c:orientation val="minMax"/>
        </c:scaling>
        <c:delete val="1"/>
        <c:axPos val="l"/>
        <c:numFmt formatCode="0.0%" sourceLinked="1"/>
        <c:majorTickMark val="none"/>
        <c:minorTickMark val="none"/>
        <c:tickLblPos val="nextTo"/>
        <c:crossAx val="1386023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الأداء الكلي بالنسبة لسنين الخبرة </a:t>
            </a:r>
            <a:r>
              <a:rPr lang="ar-EG" sz="2400" b="1" i="0" u="none" strike="noStrike" baseline="0">
                <a:solidFill>
                  <a:srgbClr val="FF6500"/>
                </a:solidFill>
              </a:rPr>
              <a:t> </a:t>
            </a:r>
            <a:endParaRPr lang="en-US" sz="2400" b="1">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Tables'!$Q$30:$Q$34</c:f>
              <c:strCache>
                <c:ptCount val="5"/>
                <c:pt idx="0">
                  <c:v>6-10</c:v>
                </c:pt>
                <c:pt idx="1">
                  <c:v>26-30</c:v>
                </c:pt>
                <c:pt idx="2">
                  <c:v>21-25</c:v>
                </c:pt>
                <c:pt idx="3">
                  <c:v>16-20</c:v>
                </c:pt>
                <c:pt idx="4">
                  <c:v>11-15</c:v>
                </c:pt>
              </c:strCache>
            </c:strRef>
          </c:cat>
          <c:val>
            <c:numRef>
              <c:f>'Pivot Tables'!$R$30:$R$34</c:f>
              <c:numCache>
                <c:formatCode>0%</c:formatCode>
                <c:ptCount val="5"/>
                <c:pt idx="0">
                  <c:v>0.78121621621621629</c:v>
                </c:pt>
                <c:pt idx="1">
                  <c:v>0.71071428571428563</c:v>
                </c:pt>
                <c:pt idx="2">
                  <c:v>0.73066666666666658</c:v>
                </c:pt>
                <c:pt idx="3">
                  <c:v>0.75781250000000011</c:v>
                </c:pt>
                <c:pt idx="4">
                  <c:v>0.78220000000000012</c:v>
                </c:pt>
              </c:numCache>
            </c:numRef>
          </c:val>
          <c:extLst>
            <c:ext xmlns:c16="http://schemas.microsoft.com/office/drawing/2014/chart" uri="{C3380CC4-5D6E-409C-BE32-E72D297353CC}">
              <c16:uniqueId val="{00000000-45B1-4A41-8A96-1E62F1C98A5C}"/>
            </c:ext>
          </c:extLst>
        </c:ser>
        <c:dLbls>
          <c:dLblPos val="outEnd"/>
          <c:showLegendKey val="0"/>
          <c:showVal val="1"/>
          <c:showCatName val="0"/>
          <c:showSerName val="0"/>
          <c:showPercent val="0"/>
          <c:showBubbleSize val="0"/>
        </c:dLbls>
        <c:gapWidth val="150"/>
        <c:axId val="1386040200"/>
        <c:axId val="1386040560"/>
      </c:barChart>
      <c:catAx>
        <c:axId val="138604020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1386040560"/>
        <c:crosses val="autoZero"/>
        <c:auto val="1"/>
        <c:lblAlgn val="ctr"/>
        <c:lblOffset val="100"/>
        <c:noMultiLvlLbl val="1"/>
      </c:catAx>
      <c:valAx>
        <c:axId val="1386040560"/>
        <c:scaling>
          <c:orientation val="minMax"/>
        </c:scaling>
        <c:delete val="1"/>
        <c:axPos val="b"/>
        <c:numFmt formatCode="0%" sourceLinked="1"/>
        <c:majorTickMark val="none"/>
        <c:minorTickMark val="none"/>
        <c:tickLblPos val="nextTo"/>
        <c:crossAx val="1386040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الأداء الكلي بالنسبة للعمر </a:t>
            </a:r>
            <a:r>
              <a:rPr lang="ar-EG" sz="2400" b="0" i="0" u="none" strike="noStrike" baseline="0">
                <a:solidFill>
                  <a:srgbClr val="FF6500"/>
                </a:solidFill>
              </a:rPr>
              <a:t>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Tables'!$T$30:$T$53</c15:sqref>
                  </c15:fullRef>
                </c:ext>
              </c:extLst>
              <c:f>'Pivot Tables'!$T$30:$T$35</c:f>
              <c:strCache>
                <c:ptCount val="6"/>
                <c:pt idx="0">
                  <c:v>36-40</c:v>
                </c:pt>
                <c:pt idx="1">
                  <c:v>41-45</c:v>
                </c:pt>
                <c:pt idx="2">
                  <c:v>46-50</c:v>
                </c:pt>
                <c:pt idx="3">
                  <c:v>51-55</c:v>
                </c:pt>
                <c:pt idx="4">
                  <c:v>56-60</c:v>
                </c:pt>
                <c:pt idx="5">
                  <c:v>61-66</c:v>
                </c:pt>
              </c:strCache>
            </c:strRef>
          </c:cat>
          <c:val>
            <c:numRef>
              <c:extLst>
                <c:ext xmlns:c15="http://schemas.microsoft.com/office/drawing/2012/chart" uri="{02D57815-91ED-43cb-92C2-25804820EDAC}">
                  <c15:fullRef>
                    <c15:sqref>'Pivot Tables'!$U$30:$U$53</c15:sqref>
                  </c15:fullRef>
                </c:ext>
              </c:extLst>
              <c:f>'Pivot Tables'!$U$30:$U$35</c:f>
              <c:numCache>
                <c:formatCode>0%</c:formatCode>
                <c:ptCount val="6"/>
                <c:pt idx="0">
                  <c:v>0.71833333333333327</c:v>
                </c:pt>
                <c:pt idx="1">
                  <c:v>0.80419999999999991</c:v>
                </c:pt>
                <c:pt idx="2">
                  <c:v>0.71558823529411764</c:v>
                </c:pt>
                <c:pt idx="3">
                  <c:v>0.76517857142857149</c:v>
                </c:pt>
                <c:pt idx="4">
                  <c:v>0.77047619047619065</c:v>
                </c:pt>
                <c:pt idx="5">
                  <c:v>0.74833333333333318</c:v>
                </c:pt>
              </c:numCache>
            </c:numRef>
          </c:val>
          <c:extLst>
            <c:ext xmlns:c16="http://schemas.microsoft.com/office/drawing/2014/chart" uri="{C3380CC4-5D6E-409C-BE32-E72D297353CC}">
              <c16:uniqueId val="{00000000-B68B-4B20-B4C1-2A1D2CD8A041}"/>
            </c:ext>
          </c:extLst>
        </c:ser>
        <c:dLbls>
          <c:dLblPos val="outEnd"/>
          <c:showLegendKey val="0"/>
          <c:showVal val="1"/>
          <c:showCatName val="0"/>
          <c:showSerName val="0"/>
          <c:showPercent val="0"/>
          <c:showBubbleSize val="0"/>
        </c:dLbls>
        <c:gapWidth val="150"/>
        <c:axId val="1385996280"/>
        <c:axId val="1385997720"/>
      </c:barChart>
      <c:catAx>
        <c:axId val="138599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1385997720"/>
        <c:crosses val="autoZero"/>
        <c:auto val="1"/>
        <c:lblAlgn val="ctr"/>
        <c:lblOffset val="100"/>
        <c:noMultiLvlLbl val="0"/>
      </c:catAx>
      <c:valAx>
        <c:axId val="1385997720"/>
        <c:scaling>
          <c:orientation val="minMax"/>
        </c:scaling>
        <c:delete val="1"/>
        <c:axPos val="l"/>
        <c:numFmt formatCode="0%" sourceLinked="1"/>
        <c:majorTickMark val="none"/>
        <c:minorTickMark val="none"/>
        <c:tickLblPos val="nextTo"/>
        <c:crossAx val="1385996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Tables!PivotTable9</c:name>
    <c:fmtId val="3"/>
  </c:pivotSource>
  <c:chart>
    <c:title>
      <c:tx>
        <c:rich>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r>
              <a:rPr lang="ar-EG" sz="2400">
                <a:solidFill>
                  <a:srgbClr val="FF6500"/>
                </a:solidFill>
              </a:rPr>
              <a:t>عدد الموظفين لكل مؤهل دراسي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9.5079177602799644E-2"/>
              <c:y val="0.137719816272965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16035914260717421"/>
              <c:y val="9.53776611256926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9497725284339457"/>
              <c:y val="-0.3672280548264800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9497725284339457"/>
              <c:y val="-0.3672280548264800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6035914260717421"/>
              <c:y val="9.53776611256926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9.5079177602799644E-2"/>
              <c:y val="0.137719816272965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8.8728444138538116E-4"/>
              <c:y val="0.11554905473749003"/>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FF6500"/>
          </a:solidFill>
          <a:ln>
            <a:solidFill>
              <a:srgbClr val="FF6500"/>
            </a:solidFill>
          </a:ln>
          <a:effectLst>
            <a:outerShdw blurRad="254000" sx="102000" sy="102000" algn="ctr" rotWithShape="0">
              <a:prstClr val="black">
                <a:alpha val="20000"/>
              </a:prstClr>
            </a:outerShdw>
          </a:effectLst>
        </c:spPr>
        <c:dLbl>
          <c:idx val="0"/>
          <c:layout>
            <c:manualLayout>
              <c:x val="0.16035914260717421"/>
              <c:y val="9.5377661125692625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367458442694662"/>
              <c:y val="-6.0653251676873722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Tables'!$I$29</c:f>
              <c:strCache>
                <c:ptCount val="1"/>
                <c:pt idx="0">
                  <c:v>Total</c:v>
                </c:pt>
              </c:strCache>
            </c:strRef>
          </c:tx>
          <c:spPr>
            <a:ln>
              <a:solidFill>
                <a:schemeClr val="bg1"/>
              </a:solidFill>
            </a:ln>
          </c:spPr>
          <c:dPt>
            <c:idx val="0"/>
            <c:bubble3D val="0"/>
            <c:spPr>
              <a:solidFill>
                <a:schemeClr val="bg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D6-463A-BBFD-601AAA550A3C}"/>
              </c:ext>
            </c:extLst>
          </c:dPt>
          <c:dPt>
            <c:idx val="1"/>
            <c:bubble3D val="0"/>
            <c:spPr>
              <a:solidFill>
                <a:srgbClr val="FF6500"/>
              </a:solidFill>
              <a:ln>
                <a:solidFill>
                  <a:srgbClr val="FF65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D6-463A-BBFD-601AAA550A3C}"/>
              </c:ext>
            </c:extLst>
          </c:dPt>
          <c:dPt>
            <c:idx val="2"/>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D6-463A-BBFD-601AAA550A3C}"/>
              </c:ext>
            </c:extLst>
          </c:dPt>
          <c:dLbls>
            <c:dLbl>
              <c:idx val="0"/>
              <c:layout>
                <c:manualLayout>
                  <c:x val="8.8728444138538116E-4"/>
                  <c:y val="0.11554905473749003"/>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CD6-463A-BBFD-601AAA550A3C}"/>
                </c:ext>
              </c:extLst>
            </c:dLbl>
            <c:dLbl>
              <c:idx val="1"/>
              <c:layout>
                <c:manualLayout>
                  <c:x val="0.16035914260717421"/>
                  <c:y val="9.537766112569262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CD6-463A-BBFD-601AAA550A3C}"/>
                </c:ext>
              </c:extLst>
            </c:dLbl>
            <c:dLbl>
              <c:idx val="2"/>
              <c:layout>
                <c:manualLayout>
                  <c:x val="0.1367458442694662"/>
                  <c:y val="-6.0653251676873722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CD6-463A-BBFD-601AAA550A3C}"/>
                </c:ext>
              </c:extLst>
            </c:dLbl>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a:solidFill>
                    <a:schemeClr val="bg1"/>
                  </a:solidFill>
                </a:ln>
                <a:effectLst/>
              </c:spPr>
            </c:leaderLines>
            <c:extLst>
              <c:ext xmlns:c15="http://schemas.microsoft.com/office/drawing/2012/chart" uri="{CE6537A1-D6FC-4f65-9D91-7224C49458BB}"/>
            </c:extLst>
          </c:dLbls>
          <c:cat>
            <c:strRef>
              <c:f>'Pivot Tables'!$H$30:$H$33</c:f>
              <c:strCache>
                <c:ptCount val="3"/>
                <c:pt idx="0">
                  <c:v>بكالوريوس</c:v>
                </c:pt>
                <c:pt idx="1">
                  <c:v>دبلوم</c:v>
                </c:pt>
                <c:pt idx="2">
                  <c:v>ماجستير</c:v>
                </c:pt>
              </c:strCache>
            </c:strRef>
          </c:cat>
          <c:val>
            <c:numRef>
              <c:f>'Pivot Tables'!$I$30:$I$33</c:f>
              <c:numCache>
                <c:formatCode>General</c:formatCode>
                <c:ptCount val="3"/>
                <c:pt idx="0">
                  <c:v>60</c:v>
                </c:pt>
                <c:pt idx="1">
                  <c:v>36</c:v>
                </c:pt>
                <c:pt idx="2">
                  <c:v>4</c:v>
                </c:pt>
              </c:numCache>
            </c:numRef>
          </c:val>
          <c:extLst>
            <c:ext xmlns:c16="http://schemas.microsoft.com/office/drawing/2014/chart" uri="{C3380CC4-5D6E-409C-BE32-E72D297353CC}">
              <c16:uniqueId val="{00000006-7CD6-463A-BBFD-601AAA550A3C}"/>
            </c:ext>
          </c:extLst>
        </c:ser>
        <c:dLbls>
          <c:dLblPos val="ctr"/>
          <c:showLegendKey val="0"/>
          <c:showVal val="0"/>
          <c:showCatName val="0"/>
          <c:showSerName val="0"/>
          <c:showPercent val="1"/>
          <c:showBubbleSize val="0"/>
          <c:showLeaderLines val="1"/>
        </c:dLbls>
        <c:firstSliceAng val="138"/>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Tables!PivotTable4</c:name>
    <c:fmtId val="4"/>
  </c:pivotSource>
  <c:chart>
    <c:title>
      <c:tx>
        <c:rich>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r>
              <a:rPr lang="ar-EG" sz="2400">
                <a:solidFill>
                  <a:srgbClr val="FF6500"/>
                </a:solidFill>
              </a:rPr>
              <a:t>متوسط المرتبات لكل مؤهل دراسي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endParaRPr lang="en-US"/>
        </a:p>
      </c:txPr>
    </c:title>
    <c:autoTitleDeleted val="0"/>
    <c:pivotFmts>
      <c:pivotFmt>
        <c:idx val="0"/>
        <c:spPr>
          <a:solidFill>
            <a:schemeClr val="accent1"/>
          </a:solidFill>
          <a:ln>
            <a:solidFill>
              <a:schemeClr val="bg1"/>
            </a:solidFill>
          </a:ln>
          <a:effectLst>
            <a:outerShdw blurRad="254000" sx="102000" sy="102000" algn="ctr" rotWithShape="0">
              <a:prstClr val="black">
                <a:alpha val="20000"/>
              </a:prstClr>
            </a:outerShdw>
          </a:effectLst>
        </c:spPr>
        <c:marker>
          <c:symbol val="circle"/>
          <c:size val="6"/>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7.2718503937007878E-2"/>
              <c:y val="-9.8440507436570429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solidFill>
              <a:schemeClr val="bg1"/>
            </a:solidFill>
          </a:ln>
          <a:effectLst>
            <a:outerShdw blurRad="254000" sx="102000" sy="102000" algn="ctr" rotWithShape="0">
              <a:prstClr val="black">
                <a:alpha val="20000"/>
              </a:prstClr>
            </a:outerShdw>
          </a:effectLst>
        </c:spPr>
        <c:dLbl>
          <c:idx val="0"/>
          <c:layout>
            <c:manualLayout>
              <c:x val="-0.1586660104986877"/>
              <c:y val="-9.0308763487897348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4324409448818898"/>
              <c:y val="8.32571449402157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7.2718503937007878E-2"/>
              <c:y val="-9.8440507436570429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solidFill>
              <a:schemeClr val="bg1"/>
            </a:solidFill>
          </a:ln>
          <a:effectLst>
            <a:outerShdw blurRad="254000" sx="102000" sy="102000" algn="ctr" rotWithShape="0">
              <a:prstClr val="black">
                <a:alpha val="20000"/>
              </a:prstClr>
            </a:outerShdw>
          </a:effectLst>
        </c:spPr>
        <c:dLbl>
          <c:idx val="0"/>
          <c:layout>
            <c:manualLayout>
              <c:x val="-0.1586660104986877"/>
              <c:y val="-9.0308763487897348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4324409448818898"/>
              <c:y val="8.3257144940215758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7.2718503937007878E-2"/>
              <c:y val="-9.8440507436570429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FF6500"/>
          </a:solidFill>
          <a:ln>
            <a:solidFill>
              <a:srgbClr val="FF6500"/>
            </a:solidFill>
          </a:ln>
          <a:effectLst>
            <a:outerShdw blurRad="254000" sx="102000" sy="102000" algn="ctr" rotWithShape="0">
              <a:prstClr val="black">
                <a:alpha val="20000"/>
              </a:prstClr>
            </a:outerShdw>
          </a:effectLst>
        </c:spPr>
        <c:dLbl>
          <c:idx val="0"/>
          <c:layout>
            <c:manualLayout>
              <c:x val="-0.1586660104986877"/>
              <c:y val="-9.0308763487897348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4821188260558341"/>
              <c:y val="0.22430686709762138"/>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Tables'!$B$65</c:f>
              <c:strCache>
                <c:ptCount val="1"/>
                <c:pt idx="0">
                  <c:v>Total</c:v>
                </c:pt>
              </c:strCache>
            </c:strRef>
          </c:tx>
          <c:spPr>
            <a:ln>
              <a:solidFill>
                <a:schemeClr val="bg1"/>
              </a:solidFill>
            </a:ln>
          </c:spPr>
          <c:dPt>
            <c:idx val="0"/>
            <c:bubble3D val="0"/>
            <c:spPr>
              <a:solidFill>
                <a:schemeClr val="bg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F9-4A92-9268-25B59198FB3F}"/>
              </c:ext>
            </c:extLst>
          </c:dPt>
          <c:dPt>
            <c:idx val="1"/>
            <c:bubble3D val="0"/>
            <c:spPr>
              <a:solidFill>
                <a:srgbClr val="FF6500"/>
              </a:solidFill>
              <a:ln>
                <a:solidFill>
                  <a:srgbClr val="FF65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F9-4A92-9268-25B59198FB3F}"/>
              </c:ext>
            </c:extLst>
          </c:dPt>
          <c:dPt>
            <c:idx val="2"/>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FF9-4A92-9268-25B59198FB3F}"/>
              </c:ext>
            </c:extLst>
          </c:dPt>
          <c:dLbls>
            <c:dLbl>
              <c:idx val="0"/>
              <c:layout>
                <c:manualLayout>
                  <c:x val="7.2718503937007878E-2"/>
                  <c:y val="-9.844050743657042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FF9-4A92-9268-25B59198FB3F}"/>
                </c:ext>
              </c:extLst>
            </c:dLbl>
            <c:dLbl>
              <c:idx val="1"/>
              <c:layout>
                <c:manualLayout>
                  <c:x val="-0.1586660104986877"/>
                  <c:y val="-9.030876348789734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FF9-4A92-9268-25B59198FB3F}"/>
                </c:ext>
              </c:extLst>
            </c:dLbl>
            <c:dLbl>
              <c:idx val="2"/>
              <c:layout>
                <c:manualLayout>
                  <c:x val="-0.14821188260558341"/>
                  <c:y val="0.2243068670976213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FF9-4A92-9268-25B59198FB3F}"/>
                </c:ext>
              </c:extLst>
            </c:dLbl>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Tables'!$A$66:$A$69</c:f>
              <c:strCache>
                <c:ptCount val="3"/>
                <c:pt idx="0">
                  <c:v>ماجستير</c:v>
                </c:pt>
                <c:pt idx="1">
                  <c:v>دبلوم</c:v>
                </c:pt>
                <c:pt idx="2">
                  <c:v>بكالوريوس</c:v>
                </c:pt>
              </c:strCache>
            </c:strRef>
          </c:cat>
          <c:val>
            <c:numRef>
              <c:f>'Pivot Tables'!$B$66:$B$69</c:f>
              <c:numCache>
                <c:formatCode>_-[$EGP]\ * #,##0_-;\-[$EGP]\ * #,##0_-;_-[$EGP]\ * "-"_-;_-@_-</c:formatCode>
                <c:ptCount val="3"/>
                <c:pt idx="0">
                  <c:v>24523.75</c:v>
                </c:pt>
                <c:pt idx="1">
                  <c:v>13199.166666666666</c:v>
                </c:pt>
                <c:pt idx="2">
                  <c:v>12398.283333333333</c:v>
                </c:pt>
              </c:numCache>
            </c:numRef>
          </c:val>
          <c:extLst>
            <c:ext xmlns:c16="http://schemas.microsoft.com/office/drawing/2014/chart" uri="{C3380CC4-5D6E-409C-BE32-E72D297353CC}">
              <c16:uniqueId val="{00000006-DFF9-4A92-9268-25B59198FB3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Tables!PivotTable13</c:name>
    <c:fmtId val="3"/>
  </c:pivotSource>
  <c:chart>
    <c:title>
      <c:tx>
        <c:rich>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r>
              <a:rPr lang="ar-EG" sz="2400">
                <a:solidFill>
                  <a:srgbClr val="FF6500"/>
                </a:solidFill>
              </a:rPr>
              <a:t>متوسط الراتب لكل موقع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rgbClr val="FF6500"/>
              </a:solidFill>
              <a:latin typeface="+mn-lt"/>
              <a:ea typeface="+mn-ea"/>
              <a:cs typeface="+mn-cs"/>
            </a:defRPr>
          </a:pPr>
          <a:endParaRPr lang="en-US"/>
        </a:p>
      </c:txPr>
    </c:title>
    <c:autoTitleDeleted val="0"/>
    <c:pivotFmts>
      <c:pivotFmt>
        <c:idx val="0"/>
        <c:spPr>
          <a:solidFill>
            <a:schemeClr val="bg1"/>
          </a:solidFill>
          <a:ln>
            <a:solidFill>
              <a:schemeClr val="bg1"/>
            </a:solidFill>
          </a:ln>
          <a:effectLst>
            <a:outerShdw blurRad="254000" sx="102000" sy="102000" algn="ctr" rotWithShape="0">
              <a:prstClr val="black">
                <a:alpha val="20000"/>
              </a:prstClr>
            </a:outerShdw>
          </a:effectLst>
        </c:spPr>
        <c:marker>
          <c:symbol val="circle"/>
          <c:size val="6"/>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7.6514094930003371E-2"/>
              <c:y val="-0.16429383020596469"/>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8609791163986869"/>
              <c:y val="-0.15246904669686143"/>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F6500"/>
          </a:solidFill>
          <a:ln>
            <a:solidFill>
              <a:schemeClr val="bg1"/>
            </a:solidFill>
          </a:ln>
          <a:effectLst>
            <a:outerShdw blurRad="254000" sx="102000" sy="102000" algn="ctr" rotWithShape="0">
              <a:prstClr val="black">
                <a:alpha val="20000"/>
              </a:prstClr>
            </a:outerShdw>
          </a:effectLst>
        </c:spPr>
        <c:dLbl>
          <c:idx val="0"/>
          <c:layout>
            <c:manualLayout>
              <c:x val="0.1928097169700993"/>
              <c:y val="0.22246188631137248"/>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bg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7.6514094930003371E-2"/>
              <c:y val="-0.16429383020596469"/>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6500"/>
          </a:solidFill>
          <a:ln>
            <a:solidFill>
              <a:schemeClr val="bg1"/>
            </a:solidFill>
          </a:ln>
          <a:effectLst>
            <a:outerShdw blurRad="254000" sx="102000" sy="102000" algn="ctr" rotWithShape="0">
              <a:prstClr val="black">
                <a:alpha val="20000"/>
              </a:prstClr>
            </a:outerShdw>
          </a:effectLst>
        </c:spPr>
        <c:dLbl>
          <c:idx val="0"/>
          <c:layout>
            <c:manualLayout>
              <c:x val="0.1928097169700993"/>
              <c:y val="0.22246188631137248"/>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8609791163986869"/>
              <c:y val="-0.15246904669686143"/>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bg1"/>
          </a:solidFill>
          <a:ln>
            <a:solidFill>
              <a:schemeClr val="bg1"/>
            </a:solidFill>
          </a:ln>
          <a:effectLst>
            <a:outerShdw blurRad="254000" sx="102000" sy="102000" algn="ctr" rotWithShape="0">
              <a:prstClr val="black">
                <a:alpha val="20000"/>
              </a:prstClr>
            </a:outerShdw>
          </a:effectLst>
        </c:spPr>
        <c:dLbl>
          <c:idx val="0"/>
          <c:layout>
            <c:manualLayout>
              <c:x val="-3.9592472880553842E-2"/>
              <c:y val="7.3507283978465579E-2"/>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009407493443836"/>
                  <c:h val="0.24558407164387297"/>
                </c:manualLayout>
              </c15:layout>
            </c:ext>
          </c:extLst>
        </c:dLbl>
      </c:pivotFmt>
      <c:pivotFmt>
        <c:idx val="10"/>
        <c:spPr>
          <a:solidFill>
            <a:srgbClr val="FF6500"/>
          </a:solidFill>
          <a:ln>
            <a:solidFill>
              <a:srgbClr val="FF6500"/>
            </a:solidFill>
          </a:ln>
          <a:effectLst>
            <a:outerShdw blurRad="254000" sx="102000" sy="102000" algn="ctr" rotWithShape="0">
              <a:prstClr val="black">
                <a:alpha val="20000"/>
              </a:prstClr>
            </a:outerShdw>
          </a:effectLst>
        </c:spPr>
        <c:dLbl>
          <c:idx val="0"/>
          <c:layout>
            <c:manualLayout>
              <c:x val="0.1928097169700993"/>
              <c:y val="0.22246188631137248"/>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tx1"/>
          </a:solidFill>
          <a:ln>
            <a:solidFill>
              <a:schemeClr val="bg1"/>
            </a:solidFill>
          </a:ln>
          <a:effectLst>
            <a:outerShdw blurRad="254000" sx="102000" sy="102000" algn="ctr" rotWithShape="0">
              <a:prstClr val="black">
                <a:alpha val="20000"/>
              </a:prstClr>
            </a:outerShdw>
          </a:effectLst>
        </c:spPr>
        <c:dLbl>
          <c:idx val="0"/>
          <c:layout>
            <c:manualLayout>
              <c:x val="0.18609791163986869"/>
              <c:y val="-0.15246904669686143"/>
            </c:manualLayout>
          </c:layout>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Tables'!$B$73</c:f>
              <c:strCache>
                <c:ptCount val="1"/>
                <c:pt idx="0">
                  <c:v>Total</c:v>
                </c:pt>
              </c:strCache>
            </c:strRef>
          </c:tx>
          <c:spPr>
            <a:solidFill>
              <a:schemeClr val="bg1"/>
            </a:solidFill>
            <a:ln>
              <a:solidFill>
                <a:schemeClr val="bg1"/>
              </a:solidFill>
            </a:ln>
          </c:spPr>
          <c:dPt>
            <c:idx val="0"/>
            <c:bubble3D val="0"/>
            <c:spPr>
              <a:solidFill>
                <a:schemeClr val="bg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77-45E7-A6BD-D8E54A71349B}"/>
              </c:ext>
            </c:extLst>
          </c:dPt>
          <c:dPt>
            <c:idx val="1"/>
            <c:bubble3D val="0"/>
            <c:spPr>
              <a:solidFill>
                <a:srgbClr val="FF6500"/>
              </a:solidFill>
              <a:ln>
                <a:solidFill>
                  <a:srgbClr val="FF65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77-45E7-A6BD-D8E54A71349B}"/>
              </c:ext>
            </c:extLst>
          </c:dPt>
          <c:dPt>
            <c:idx val="2"/>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77-45E7-A6BD-D8E54A71349B}"/>
              </c:ext>
            </c:extLst>
          </c:dPt>
          <c:dLbls>
            <c:dLbl>
              <c:idx val="0"/>
              <c:layout>
                <c:manualLayout>
                  <c:x val="-3.9592472880553842E-2"/>
                  <c:y val="7.350728397846557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009407493443836"/>
                      <c:h val="0.24558407164387297"/>
                    </c:manualLayout>
                  </c15:layout>
                </c:ext>
                <c:ext xmlns:c16="http://schemas.microsoft.com/office/drawing/2014/chart" uri="{C3380CC4-5D6E-409C-BE32-E72D297353CC}">
                  <c16:uniqueId val="{00000001-1977-45E7-A6BD-D8E54A71349B}"/>
                </c:ext>
              </c:extLst>
            </c:dLbl>
            <c:dLbl>
              <c:idx val="1"/>
              <c:layout>
                <c:manualLayout>
                  <c:x val="0.1928097169700993"/>
                  <c:y val="0.2224618863113724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977-45E7-A6BD-D8E54A71349B}"/>
                </c:ext>
              </c:extLst>
            </c:dLbl>
            <c:dLbl>
              <c:idx val="2"/>
              <c:layout>
                <c:manualLayout>
                  <c:x val="0.18609791163986869"/>
                  <c:y val="-0.1524690466968614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977-45E7-A6BD-D8E54A71349B}"/>
                </c:ext>
              </c:extLst>
            </c:dLbl>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bg1"/>
                  </a:solidFill>
                </a:ln>
                <a:effectLst/>
              </c:spPr>
            </c:leaderLines>
            <c:extLst>
              <c:ext xmlns:c15="http://schemas.microsoft.com/office/drawing/2012/chart" uri="{CE6537A1-D6FC-4f65-9D91-7224C49458BB}"/>
            </c:extLst>
          </c:dLbls>
          <c:cat>
            <c:strRef>
              <c:f>'Pivot Tables'!$A$74:$A$77</c:f>
              <c:strCache>
                <c:ptCount val="3"/>
                <c:pt idx="0">
                  <c:v>القاهرة</c:v>
                </c:pt>
                <c:pt idx="1">
                  <c:v>الاسكندرية</c:v>
                </c:pt>
                <c:pt idx="2">
                  <c:v>طنطا</c:v>
                </c:pt>
              </c:strCache>
            </c:strRef>
          </c:cat>
          <c:val>
            <c:numRef>
              <c:f>'Pivot Tables'!$B$74:$B$77</c:f>
              <c:numCache>
                <c:formatCode>_-[$EGP]\ * #,##0_-;\-[$EGP]\ * #,##0_-;_-[$EGP]\ * "-"_-;_-@_-</c:formatCode>
                <c:ptCount val="3"/>
                <c:pt idx="0">
                  <c:v>13490</c:v>
                </c:pt>
                <c:pt idx="1">
                  <c:v>13369.434782608696</c:v>
                </c:pt>
                <c:pt idx="2">
                  <c:v>12029.333333333334</c:v>
                </c:pt>
              </c:numCache>
            </c:numRef>
          </c:val>
          <c:extLst>
            <c:ext xmlns:c16="http://schemas.microsoft.com/office/drawing/2014/chart" uri="{C3380CC4-5D6E-409C-BE32-E72D297353CC}">
              <c16:uniqueId val="{00000006-1977-45E7-A6BD-D8E54A71349B}"/>
            </c:ext>
          </c:extLst>
        </c:ser>
        <c:dLbls>
          <c:dLblPos val="ctr"/>
          <c:showLegendKey val="0"/>
          <c:showVal val="0"/>
          <c:showCatName val="0"/>
          <c:showSerName val="0"/>
          <c:showPercent val="1"/>
          <c:showBubbleSize val="0"/>
          <c:showLeaderLines val="1"/>
        </c:dLbls>
        <c:firstSliceAng val="20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Tables!PivotTable14</c:name>
    <c:fmtId val="2"/>
  </c:pivotSource>
  <c:chart>
    <c:title>
      <c:tx>
        <c:rich>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الراتب لكل قسم</a:t>
            </a:r>
            <a:r>
              <a:rPr lang="ar-EG" sz="2400" b="0" i="0" u="none" strike="noStrike" baseline="0">
                <a:solidFill>
                  <a:srgbClr val="FF6500"/>
                </a:solidFill>
              </a:rPr>
              <a:t>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6500"/>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41350148950267E-2"/>
          <c:y val="0.24505903362550652"/>
          <c:w val="0.91295686483349969"/>
          <c:h val="0.62677718615869316"/>
        </c:manualLayout>
      </c:layout>
      <c:barChart>
        <c:barDir val="col"/>
        <c:grouping val="clustered"/>
        <c:varyColors val="0"/>
        <c:ser>
          <c:idx val="0"/>
          <c:order val="0"/>
          <c:tx>
            <c:strRef>
              <c:f>'Pivot Tables'!$B$81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Tables'!$A$82:$A$87</c:f>
              <c:strCache>
                <c:ptCount val="5"/>
                <c:pt idx="0">
                  <c:v>Marketing</c:v>
                </c:pt>
                <c:pt idx="1">
                  <c:v>Finance</c:v>
                </c:pt>
                <c:pt idx="2">
                  <c:v>Sales</c:v>
                </c:pt>
                <c:pt idx="3">
                  <c:v>HR</c:v>
                </c:pt>
                <c:pt idx="4">
                  <c:v>IT</c:v>
                </c:pt>
              </c:strCache>
            </c:strRef>
          </c:cat>
          <c:val>
            <c:numRef>
              <c:f>'Pivot Tables'!$B$82:$B$87</c:f>
              <c:numCache>
                <c:formatCode>_(* #,##0_);_(* \(#,##0\);_(* "-"??_);_(@_)</c:formatCode>
                <c:ptCount val="5"/>
                <c:pt idx="0">
                  <c:v>14726.777777777777</c:v>
                </c:pt>
                <c:pt idx="1">
                  <c:v>13976.7</c:v>
                </c:pt>
                <c:pt idx="2">
                  <c:v>13788.378378378378</c:v>
                </c:pt>
                <c:pt idx="3">
                  <c:v>11520.652173913044</c:v>
                </c:pt>
                <c:pt idx="4">
                  <c:v>11430.666666666666</c:v>
                </c:pt>
              </c:numCache>
            </c:numRef>
          </c:val>
          <c:extLst>
            <c:ext xmlns:c16="http://schemas.microsoft.com/office/drawing/2014/chart" uri="{C3380CC4-5D6E-409C-BE32-E72D297353CC}">
              <c16:uniqueId val="{00000000-E8F7-4724-A33E-051977477BD8}"/>
            </c:ext>
          </c:extLst>
        </c:ser>
        <c:dLbls>
          <c:dLblPos val="outEnd"/>
          <c:showLegendKey val="0"/>
          <c:showVal val="1"/>
          <c:showCatName val="0"/>
          <c:showSerName val="0"/>
          <c:showPercent val="0"/>
          <c:showBubbleSize val="0"/>
        </c:dLbls>
        <c:gapWidth val="219"/>
        <c:overlap val="-27"/>
        <c:axId val="868587151"/>
        <c:axId val="835678095"/>
      </c:barChart>
      <c:catAx>
        <c:axId val="86858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835678095"/>
        <c:crosses val="autoZero"/>
        <c:auto val="1"/>
        <c:lblAlgn val="ctr"/>
        <c:lblOffset val="100"/>
        <c:noMultiLvlLbl val="0"/>
      </c:catAx>
      <c:valAx>
        <c:axId val="835678095"/>
        <c:scaling>
          <c:orientation val="minMax"/>
        </c:scaling>
        <c:delete val="1"/>
        <c:axPos val="l"/>
        <c:title>
          <c:tx>
            <c:rich>
              <a:bodyPr rot="-5400000" spcFirstLastPara="1" vertOverflow="ellipsis" vert="horz" wrap="square" anchor="ctr" anchorCtr="1"/>
              <a:lstStyle/>
              <a:p>
                <a:pPr>
                  <a:defRPr sz="1600" b="1" i="0" u="none" strike="noStrike" kern="1200" baseline="0">
                    <a:solidFill>
                      <a:srgbClr val="FF6500"/>
                    </a:solidFill>
                    <a:latin typeface="+mn-lt"/>
                    <a:ea typeface="+mn-ea"/>
                    <a:cs typeface="+mn-cs"/>
                  </a:defRPr>
                </a:pPr>
                <a:r>
                  <a:rPr lang="en-US" sz="1600" b="1">
                    <a:solidFill>
                      <a:srgbClr val="FF6500"/>
                    </a:solidFill>
                  </a:rPr>
                  <a:t>EGP</a:t>
                </a:r>
              </a:p>
            </c:rich>
          </c:tx>
          <c:overlay val="0"/>
          <c:spPr>
            <a:noFill/>
            <a:ln>
              <a:noFill/>
            </a:ln>
            <a:effectLst/>
          </c:spPr>
          <c:txPr>
            <a:bodyPr rot="-5400000" spcFirstLastPara="1" vertOverflow="ellipsis" vert="horz" wrap="square" anchor="ctr" anchorCtr="1"/>
            <a:lstStyle/>
            <a:p>
              <a:pPr>
                <a:defRPr sz="1600" b="1" i="0" u="none" strike="noStrike" kern="1200" baseline="0">
                  <a:solidFill>
                    <a:srgbClr val="FF6500"/>
                  </a:solidFill>
                  <a:latin typeface="+mn-lt"/>
                  <a:ea typeface="+mn-ea"/>
                  <a:cs typeface="+mn-cs"/>
                </a:defRPr>
              </a:pPr>
              <a:endParaRPr lang="en-US"/>
            </a:p>
          </c:txPr>
        </c:title>
        <c:numFmt formatCode="_(* #,##0_);_(* \(#,##0\);_(* &quot;-&quot;??_);_(@_)" sourceLinked="1"/>
        <c:majorTickMark val="none"/>
        <c:minorTickMark val="none"/>
        <c:tickLblPos val="nextTo"/>
        <c:crossAx val="86858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2400" b="1" i="0" u="none" strike="noStrike" baseline="0">
                <a:solidFill>
                  <a:srgbClr val="FF6500"/>
                </a:solidFill>
                <a:effectLst/>
              </a:rPr>
              <a:t>متوسط الأداء الكلي و متوسط الراتب لكل قسم</a:t>
            </a:r>
            <a:r>
              <a:rPr lang="ar-EG" sz="2400" b="0" i="0" u="none" strike="noStrike" baseline="0">
                <a:solidFill>
                  <a:srgbClr val="FF6500"/>
                </a:solidFill>
              </a:rPr>
              <a:t> </a:t>
            </a:r>
            <a:endParaRPr lang="en-US" sz="2400">
              <a:solidFill>
                <a:srgbClr val="FF65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Tables'!$F$93</c:f>
              <c:strCache>
                <c:ptCount val="1"/>
                <c:pt idx="0">
                  <c:v>متوسط الراتب</c:v>
                </c:pt>
              </c:strCache>
            </c:strRef>
          </c:tx>
          <c:spPr>
            <a:solidFill>
              <a:schemeClr val="bg1"/>
            </a:solidFill>
            <a:ln>
              <a:noFill/>
            </a:ln>
            <a:effectLst/>
          </c:spPr>
          <c:invertIfNegative val="0"/>
          <c:dLbls>
            <c:dLbl>
              <c:idx val="0"/>
              <c:layout>
                <c:manualLayout>
                  <c:x val="-8.7739028735329072E-2"/>
                  <c:y val="1.1799407288828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03-4983-84AF-2B2AC9C2FF5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Tables'!$E$94:$E$98</c:f>
              <c:strCache>
                <c:ptCount val="5"/>
                <c:pt idx="0">
                  <c:v>IT</c:v>
                </c:pt>
                <c:pt idx="1">
                  <c:v>Marketing</c:v>
                </c:pt>
                <c:pt idx="2">
                  <c:v>Finance</c:v>
                </c:pt>
                <c:pt idx="3">
                  <c:v>Sales</c:v>
                </c:pt>
                <c:pt idx="4">
                  <c:v>HR</c:v>
                </c:pt>
              </c:strCache>
            </c:strRef>
          </c:cat>
          <c:val>
            <c:numRef>
              <c:f>'Pivot Tables'!$F$94:$F$98</c:f>
              <c:numCache>
                <c:formatCode>_(* #,##0_);_(* \(#,##0\);_(* "-"??_);_(@_)</c:formatCode>
                <c:ptCount val="5"/>
                <c:pt idx="0">
                  <c:v>11430.666666666666</c:v>
                </c:pt>
                <c:pt idx="1">
                  <c:v>14726.777777777777</c:v>
                </c:pt>
                <c:pt idx="2">
                  <c:v>13976.7</c:v>
                </c:pt>
                <c:pt idx="3">
                  <c:v>13788.378378378378</c:v>
                </c:pt>
                <c:pt idx="4">
                  <c:v>11520.652173913044</c:v>
                </c:pt>
              </c:numCache>
            </c:numRef>
          </c:val>
          <c:extLst>
            <c:ext xmlns:c16="http://schemas.microsoft.com/office/drawing/2014/chart" uri="{C3380CC4-5D6E-409C-BE32-E72D297353CC}">
              <c16:uniqueId val="{00000000-6DD6-4E65-8B3B-74522E7E57C5}"/>
            </c:ext>
          </c:extLst>
        </c:ser>
        <c:dLbls>
          <c:showLegendKey val="0"/>
          <c:showVal val="1"/>
          <c:showCatName val="0"/>
          <c:showSerName val="0"/>
          <c:showPercent val="0"/>
          <c:showBubbleSize val="0"/>
        </c:dLbls>
        <c:gapWidth val="150"/>
        <c:axId val="868581391"/>
        <c:axId val="835679535"/>
      </c:barChart>
      <c:lineChart>
        <c:grouping val="standard"/>
        <c:varyColors val="0"/>
        <c:ser>
          <c:idx val="1"/>
          <c:order val="1"/>
          <c:tx>
            <c:strRef>
              <c:f>'Pivot Tables'!$G$93</c:f>
              <c:strCache>
                <c:ptCount val="1"/>
                <c:pt idx="0">
                  <c:v> متوسط الاداء الكلي</c:v>
                </c:pt>
              </c:strCache>
            </c:strRef>
          </c:tx>
          <c:spPr>
            <a:ln w="28575" cap="rnd">
              <a:solidFill>
                <a:schemeClr val="accent2"/>
              </a:solidFill>
              <a:round/>
            </a:ln>
            <a:effectLst/>
          </c:spPr>
          <c:marker>
            <c:symbol val="none"/>
          </c:marker>
          <c:dLbls>
            <c:dLbl>
              <c:idx val="0"/>
              <c:layout>
                <c:manualLayout>
                  <c:x val="2.103594579351476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D6-4E65-8B3B-74522E7E57C5}"/>
                </c:ext>
              </c:extLst>
            </c:dLbl>
            <c:dLbl>
              <c:idx val="1"/>
              <c:layout>
                <c:manualLayout>
                  <c:x val="3.5761094224197133E-2"/>
                  <c:y val="-3.0686588463849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D6-4E65-8B3B-74522E7E57C5}"/>
                </c:ext>
              </c:extLst>
            </c:dLbl>
            <c:dLbl>
              <c:idx val="2"/>
              <c:layout>
                <c:manualLayout>
                  <c:x val="3.7864702428326638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D6-4E65-8B3B-74522E7E57C5}"/>
                </c:ext>
              </c:extLst>
            </c:dLbl>
            <c:dLbl>
              <c:idx val="3"/>
              <c:layout>
                <c:manualLayout>
                  <c:x val="4.2071891587029599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D6-4E65-8B3B-74522E7E57C5}"/>
                </c:ext>
              </c:extLst>
            </c:dLbl>
            <c:dLbl>
              <c:idx val="4"/>
              <c:layout>
                <c:manualLayout>
                  <c:x val="5.2290095361476496E-2"/>
                  <c:y val="-7.33973293914802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D6-4E65-8B3B-74522E7E57C5}"/>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65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Tables'!$E$94:$E$98</c:f>
              <c:strCache>
                <c:ptCount val="5"/>
                <c:pt idx="0">
                  <c:v>IT</c:v>
                </c:pt>
                <c:pt idx="1">
                  <c:v>Marketing</c:v>
                </c:pt>
                <c:pt idx="2">
                  <c:v>Finance</c:v>
                </c:pt>
                <c:pt idx="3">
                  <c:v>Sales</c:v>
                </c:pt>
                <c:pt idx="4">
                  <c:v>HR</c:v>
                </c:pt>
              </c:strCache>
            </c:strRef>
          </c:cat>
          <c:val>
            <c:numRef>
              <c:f>'Pivot Tables'!$G$94:$G$98</c:f>
              <c:numCache>
                <c:formatCode>0%</c:formatCode>
                <c:ptCount val="5"/>
                <c:pt idx="0">
                  <c:v>0.7891666666666669</c:v>
                </c:pt>
                <c:pt idx="1">
                  <c:v>0.77527777777777784</c:v>
                </c:pt>
                <c:pt idx="2">
                  <c:v>0.77400000000000002</c:v>
                </c:pt>
                <c:pt idx="3">
                  <c:v>0.75824324324324333</c:v>
                </c:pt>
                <c:pt idx="4">
                  <c:v>0.75217391304347825</c:v>
                </c:pt>
              </c:numCache>
            </c:numRef>
          </c:val>
          <c:smooth val="0"/>
          <c:extLst>
            <c:ext xmlns:c16="http://schemas.microsoft.com/office/drawing/2014/chart" uri="{C3380CC4-5D6E-409C-BE32-E72D297353CC}">
              <c16:uniqueId val="{00000006-6DD6-4E65-8B3B-74522E7E57C5}"/>
            </c:ext>
          </c:extLst>
        </c:ser>
        <c:dLbls>
          <c:showLegendKey val="0"/>
          <c:showVal val="1"/>
          <c:showCatName val="0"/>
          <c:showSerName val="0"/>
          <c:showPercent val="0"/>
          <c:showBubbleSize val="0"/>
        </c:dLbls>
        <c:marker val="1"/>
        <c:smooth val="0"/>
        <c:axId val="859860863"/>
        <c:axId val="859853663"/>
      </c:lineChart>
      <c:catAx>
        <c:axId val="86858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835679535"/>
        <c:crosses val="autoZero"/>
        <c:auto val="1"/>
        <c:lblAlgn val="ctr"/>
        <c:lblOffset val="100"/>
        <c:noMultiLvlLbl val="0"/>
      </c:catAx>
      <c:valAx>
        <c:axId val="835679535"/>
        <c:scaling>
          <c:orientation val="minMax"/>
        </c:scaling>
        <c:delete val="0"/>
        <c:axPos val="l"/>
        <c:title>
          <c:tx>
            <c:rich>
              <a:bodyPr rot="-540000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600" b="1">
                    <a:solidFill>
                      <a:schemeClr val="bg1"/>
                    </a:solidFill>
                  </a:rPr>
                  <a:t>EGP</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8581391"/>
        <c:crosses val="autoZero"/>
        <c:crossBetween val="between"/>
      </c:valAx>
      <c:valAx>
        <c:axId val="859853663"/>
        <c:scaling>
          <c:orientation val="minMax"/>
        </c:scaling>
        <c:delete val="0"/>
        <c:axPos val="r"/>
        <c:title>
          <c:tx>
            <c:rich>
              <a:bodyPr rot="-5400000" spcFirstLastPara="1" vertOverflow="ellipsis" vert="horz" wrap="square" anchor="ctr" anchorCtr="1"/>
              <a:lstStyle/>
              <a:p>
                <a:pPr>
                  <a:defRPr sz="2000" b="1" i="0" u="none" strike="noStrike" kern="1200" baseline="0">
                    <a:solidFill>
                      <a:srgbClr val="FF6500"/>
                    </a:solidFill>
                    <a:latin typeface="+mn-lt"/>
                    <a:ea typeface="+mn-ea"/>
                    <a:cs typeface="+mn-cs"/>
                  </a:defRPr>
                </a:pPr>
                <a:r>
                  <a:rPr lang="en-US" sz="2000" b="1">
                    <a:solidFill>
                      <a:srgbClr val="FF6500"/>
                    </a:solidFill>
                  </a:rPr>
                  <a:t>%</a:t>
                </a:r>
              </a:p>
            </c:rich>
          </c:tx>
          <c:overlay val="0"/>
          <c:spPr>
            <a:noFill/>
            <a:ln>
              <a:noFill/>
            </a:ln>
            <a:effectLst/>
          </c:spPr>
          <c:txPr>
            <a:bodyPr rot="-5400000" spcFirstLastPara="1" vertOverflow="ellipsis" vert="horz" wrap="square" anchor="ctr" anchorCtr="1"/>
            <a:lstStyle/>
            <a:p>
              <a:pPr>
                <a:defRPr sz="2000" b="1" i="0" u="none" strike="noStrike" kern="1200" baseline="0">
                  <a:solidFill>
                    <a:srgbClr val="FF6500"/>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9860863"/>
        <c:crosses val="max"/>
        <c:crossBetween val="between"/>
      </c:valAx>
      <c:catAx>
        <c:axId val="859860863"/>
        <c:scaling>
          <c:orientation val="minMax"/>
        </c:scaling>
        <c:delete val="1"/>
        <c:axPos val="b"/>
        <c:numFmt formatCode="General" sourceLinked="1"/>
        <c:majorTickMark val="out"/>
        <c:minorTickMark val="none"/>
        <c:tickLblPos val="nextTo"/>
        <c:crossAx val="8598536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Tables!PivotTable8</c:name>
    <c:fmtId val="2"/>
  </c:pivotSource>
  <c:chart>
    <c:title>
      <c:tx>
        <c:rich>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المرتبات بالنسبة للعمر</a:t>
            </a:r>
            <a:r>
              <a:rPr lang="ar-EG" sz="2400" b="1" i="0" u="none" strike="noStrike" baseline="0">
                <a:solidFill>
                  <a:srgbClr val="FF6500"/>
                </a:solidFill>
              </a:rPr>
              <a:t> </a:t>
            </a:r>
            <a:endParaRPr lang="en-US" sz="2400" b="1">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chemeClr val="bg1"/>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chemeClr val="bg1"/>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7"/>
          <c:spPr>
            <a:solidFill>
              <a:schemeClr val="bg1"/>
            </a:solidFill>
            <a:ln w="349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Tables'!$E$65</c:f>
              <c:strCache>
                <c:ptCount val="1"/>
                <c:pt idx="0">
                  <c:v>Total</c:v>
                </c:pt>
              </c:strCache>
            </c:strRef>
          </c:tx>
          <c:spPr>
            <a:ln w="28575" cap="rnd">
              <a:solidFill>
                <a:schemeClr val="bg1"/>
              </a:solidFill>
              <a:round/>
            </a:ln>
            <a:effectLst/>
          </c:spPr>
          <c:marker>
            <c:symbol val="circle"/>
            <c:size val="7"/>
            <c:spPr>
              <a:solidFill>
                <a:schemeClr val="bg1"/>
              </a:solidFill>
              <a:ln w="34925">
                <a:noFill/>
              </a:ln>
              <a:effectLst/>
            </c:spPr>
          </c:marker>
          <c:cat>
            <c:strRef>
              <c:f>'Pivot Tables'!$D$66:$D$72</c:f>
              <c:strCache>
                <c:ptCount val="6"/>
                <c:pt idx="0">
                  <c:v>36-40</c:v>
                </c:pt>
                <c:pt idx="1">
                  <c:v>41-45</c:v>
                </c:pt>
                <c:pt idx="2">
                  <c:v>46-50</c:v>
                </c:pt>
                <c:pt idx="3">
                  <c:v>51-55</c:v>
                </c:pt>
                <c:pt idx="4">
                  <c:v>56-60</c:v>
                </c:pt>
                <c:pt idx="5">
                  <c:v>61-66</c:v>
                </c:pt>
              </c:strCache>
            </c:strRef>
          </c:cat>
          <c:val>
            <c:numRef>
              <c:f>'Pivot Tables'!$E$66:$E$72</c:f>
              <c:numCache>
                <c:formatCode>_-[$EGP]\ * #,##0_-;\-[$EGP]\ * #,##0_-;_-[$EGP]\ * "-"_-;_-@_-</c:formatCode>
                <c:ptCount val="6"/>
                <c:pt idx="0">
                  <c:v>10484</c:v>
                </c:pt>
                <c:pt idx="1">
                  <c:v>15771.64</c:v>
                </c:pt>
                <c:pt idx="2">
                  <c:v>10883.235294117647</c:v>
                </c:pt>
                <c:pt idx="3">
                  <c:v>12022.035714285714</c:v>
                </c:pt>
                <c:pt idx="4">
                  <c:v>14092.904761904761</c:v>
                </c:pt>
                <c:pt idx="5">
                  <c:v>12306</c:v>
                </c:pt>
              </c:numCache>
            </c:numRef>
          </c:val>
          <c:smooth val="0"/>
          <c:extLst>
            <c:ext xmlns:c16="http://schemas.microsoft.com/office/drawing/2014/chart" uri="{C3380CC4-5D6E-409C-BE32-E72D297353CC}">
              <c16:uniqueId val="{00000000-0832-4531-8C9B-52F6137DB49C}"/>
            </c:ext>
          </c:extLst>
        </c:ser>
        <c:dLbls>
          <c:showLegendKey val="0"/>
          <c:showVal val="0"/>
          <c:showCatName val="0"/>
          <c:showSerName val="0"/>
          <c:showPercent val="0"/>
          <c:showBubbleSize val="0"/>
        </c:dLbls>
        <c:marker val="1"/>
        <c:smooth val="0"/>
        <c:axId val="859857023"/>
        <c:axId val="859852223"/>
      </c:lineChart>
      <c:catAx>
        <c:axId val="8598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859852223"/>
        <c:crosses val="autoZero"/>
        <c:auto val="1"/>
        <c:lblAlgn val="ctr"/>
        <c:lblOffset val="100"/>
        <c:noMultiLvlLbl val="0"/>
      </c:catAx>
      <c:valAx>
        <c:axId val="859852223"/>
        <c:scaling>
          <c:orientation val="minMax"/>
        </c:scaling>
        <c:delete val="0"/>
        <c:axPos val="l"/>
        <c:majorGridlines>
          <c:spPr>
            <a:ln w="9525" cap="flat" cmpd="sng" algn="ctr">
              <a:solidFill>
                <a:schemeClr val="tx1">
                  <a:lumMod val="15000"/>
                  <a:lumOff val="85000"/>
                </a:schemeClr>
              </a:solidFill>
              <a:round/>
            </a:ln>
            <a:effectLst/>
          </c:spPr>
        </c:majorGridlines>
        <c:numFmt formatCode="_-[$EGP]\ * #,##0_-;\-[$EGP]\ * #,##0_-;_-[$EGP]\ *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85985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12 (1).xlsx]Pivot Tables!PivotTable12</c:name>
    <c:fmtId val="5"/>
  </c:pivotSource>
  <c:chart>
    <c:title>
      <c:tx>
        <c:rich>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r>
              <a:rPr lang="ar-EG" sz="2400" b="1" i="0" u="none" strike="noStrike" baseline="0">
                <a:solidFill>
                  <a:srgbClr val="FF6500"/>
                </a:solidFill>
                <a:effectLst/>
              </a:rPr>
              <a:t>متوسط الراتب بالنسبة لسنين الخبرة</a:t>
            </a:r>
            <a:r>
              <a:rPr lang="ar-EG" sz="2400" b="1" i="0" u="none" strike="noStrike" baseline="0">
                <a:solidFill>
                  <a:srgbClr val="FF6500"/>
                </a:solidFill>
              </a:rPr>
              <a:t> </a:t>
            </a:r>
            <a:endParaRPr lang="en-US" sz="2400" b="1">
              <a:solidFill>
                <a:srgbClr val="FF6500"/>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FF6500"/>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7"/>
          <c:spPr>
            <a:solidFill>
              <a:schemeClr val="bg1"/>
            </a:solidFill>
            <a:ln w="9525">
              <a:solidFill>
                <a:schemeClr val="accent1"/>
              </a:solidFill>
            </a:ln>
            <a:effectLst/>
          </c:spPr>
        </c:marker>
      </c:pivotFmt>
      <c:pivotFmt>
        <c:idx val="1"/>
        <c:spPr>
          <a:solidFill>
            <a:schemeClr val="accent1"/>
          </a:solidFill>
          <a:ln w="28575" cap="rnd">
            <a:solidFill>
              <a:schemeClr val="bg1"/>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7"/>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Tables'!$H$65</c:f>
              <c:strCache>
                <c:ptCount val="1"/>
                <c:pt idx="0">
                  <c:v>Total</c:v>
                </c:pt>
              </c:strCache>
            </c:strRef>
          </c:tx>
          <c:spPr>
            <a:ln w="28575" cap="rnd">
              <a:solidFill>
                <a:schemeClr val="bg1"/>
              </a:solidFill>
              <a:round/>
            </a:ln>
            <a:effectLst/>
          </c:spPr>
          <c:marker>
            <c:symbol val="circle"/>
            <c:size val="7"/>
            <c:spPr>
              <a:solidFill>
                <a:schemeClr val="bg1"/>
              </a:solidFill>
              <a:ln w="9525">
                <a:solidFill>
                  <a:schemeClr val="bg1"/>
                </a:solidFill>
              </a:ln>
              <a:effectLst/>
            </c:spPr>
          </c:marker>
          <c:cat>
            <c:strRef>
              <c:f>'Pivot Tables'!$G$66:$G$71</c:f>
              <c:strCache>
                <c:ptCount val="5"/>
                <c:pt idx="0">
                  <c:v>6-10</c:v>
                </c:pt>
                <c:pt idx="1">
                  <c:v>26-30</c:v>
                </c:pt>
                <c:pt idx="2">
                  <c:v>21-25</c:v>
                </c:pt>
                <c:pt idx="3">
                  <c:v>16-20</c:v>
                </c:pt>
                <c:pt idx="4">
                  <c:v>11-15</c:v>
                </c:pt>
              </c:strCache>
            </c:strRef>
          </c:cat>
          <c:val>
            <c:numRef>
              <c:f>'Pivot Tables'!$H$66:$H$71</c:f>
              <c:numCache>
                <c:formatCode>_-[$EGP]\ * #,##0_-;\-[$EGP]\ * #,##0_-;_-[$EGP]\ * "-"_-;_-@_-</c:formatCode>
                <c:ptCount val="5"/>
                <c:pt idx="0">
                  <c:v>12431.351351351352</c:v>
                </c:pt>
                <c:pt idx="1">
                  <c:v>11642.428571428571</c:v>
                </c:pt>
                <c:pt idx="2">
                  <c:v>15053.066666666668</c:v>
                </c:pt>
                <c:pt idx="3">
                  <c:v>11319.875</c:v>
                </c:pt>
                <c:pt idx="4">
                  <c:v>14751.64</c:v>
                </c:pt>
              </c:numCache>
            </c:numRef>
          </c:val>
          <c:smooth val="0"/>
          <c:extLst>
            <c:ext xmlns:c16="http://schemas.microsoft.com/office/drawing/2014/chart" uri="{C3380CC4-5D6E-409C-BE32-E72D297353CC}">
              <c16:uniqueId val="{00000000-E918-40B3-96A3-D47002AF1066}"/>
            </c:ext>
          </c:extLst>
        </c:ser>
        <c:dLbls>
          <c:showLegendKey val="0"/>
          <c:showVal val="0"/>
          <c:showCatName val="0"/>
          <c:showSerName val="0"/>
          <c:showPercent val="0"/>
          <c:showBubbleSize val="0"/>
        </c:dLbls>
        <c:marker val="1"/>
        <c:smooth val="0"/>
        <c:axId val="979367551"/>
        <c:axId val="979383391"/>
      </c:lineChart>
      <c:catAx>
        <c:axId val="97936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979383391"/>
        <c:crosses val="autoZero"/>
        <c:auto val="1"/>
        <c:lblAlgn val="ctr"/>
        <c:lblOffset val="100"/>
        <c:noMultiLvlLbl val="0"/>
      </c:catAx>
      <c:valAx>
        <c:axId val="979383391"/>
        <c:scaling>
          <c:orientation val="minMax"/>
        </c:scaling>
        <c:delete val="0"/>
        <c:axPos val="l"/>
        <c:majorGridlines>
          <c:spPr>
            <a:ln w="9525" cap="flat" cmpd="sng" algn="ctr">
              <a:solidFill>
                <a:schemeClr val="tx1">
                  <a:lumMod val="15000"/>
                  <a:lumOff val="85000"/>
                </a:schemeClr>
              </a:solidFill>
              <a:round/>
            </a:ln>
            <a:effectLst/>
          </c:spPr>
        </c:majorGridlines>
        <c:numFmt formatCode="_-[$EGP]\ * #,##0_-;\-[$EGP]\ * #,##0_-;_-[$EGP]\ *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rgbClr val="FF6500"/>
                </a:solidFill>
                <a:latin typeface="+mn-lt"/>
                <a:ea typeface="+mn-ea"/>
                <a:cs typeface="+mn-cs"/>
              </a:defRPr>
            </a:pPr>
            <a:endParaRPr lang="en-US"/>
          </a:p>
        </c:txPr>
        <c:crossAx val="97936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Employee Performance Dashboard'!A1"/><Relationship Id="rId7" Type="http://schemas.openxmlformats.org/officeDocument/2006/relationships/image" Target="../media/image5.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4.emf"/><Relationship Id="rId5" Type="http://schemas.openxmlformats.org/officeDocument/2006/relationships/hyperlink" Target="#'Empoyee Salaries Dashboard'!A1"/><Relationship Id="rId4" Type="http://schemas.openxmlformats.org/officeDocument/2006/relationships/image" Target="../media/image3.emf"/></Relationships>
</file>

<file path=xl/drawings/_rels/drawing2.xml.rels><?xml version="1.0" encoding="UTF-8" standalone="yes"?>
<Relationships xmlns="http://schemas.openxmlformats.org/package/2006/relationships"><Relationship Id="rId8" Type="http://schemas.openxmlformats.org/officeDocument/2006/relationships/hyperlink" Target="#'Empoyee Salaries Dashboard'!A1"/><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6.emf"/><Relationship Id="rId6" Type="http://schemas.openxmlformats.org/officeDocument/2006/relationships/chart" Target="../charts/chart5.xml"/><Relationship Id="rId11" Type="http://schemas.openxmlformats.org/officeDocument/2006/relationships/image" Target="../media/image14.png"/><Relationship Id="rId5" Type="http://schemas.openxmlformats.org/officeDocument/2006/relationships/chart" Target="../charts/chart4.xml"/><Relationship Id="rId10" Type="http://schemas.openxmlformats.org/officeDocument/2006/relationships/hyperlink" Target="#Home!A1"/><Relationship Id="rId4" Type="http://schemas.openxmlformats.org/officeDocument/2006/relationships/chart" Target="../charts/chart3.xml"/><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8" Type="http://schemas.openxmlformats.org/officeDocument/2006/relationships/hyperlink" Target="#'Employee Performance Dashboard'!A1"/><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5.emf"/><Relationship Id="rId6" Type="http://schemas.openxmlformats.org/officeDocument/2006/relationships/chart" Target="../charts/chart11.xml"/><Relationship Id="rId11" Type="http://schemas.openxmlformats.org/officeDocument/2006/relationships/image" Target="../media/image19.png"/><Relationship Id="rId5" Type="http://schemas.openxmlformats.org/officeDocument/2006/relationships/chart" Target="../charts/chart10.xml"/><Relationship Id="rId10" Type="http://schemas.openxmlformats.org/officeDocument/2006/relationships/hyperlink" Target="#Home!A1"/><Relationship Id="rId4" Type="http://schemas.openxmlformats.org/officeDocument/2006/relationships/chart" Target="../charts/chart9.xml"/><Relationship Id="rId9"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51</xdr:col>
      <xdr:colOff>389466</xdr:colOff>
      <xdr:row>62</xdr:row>
      <xdr:rowOff>118533</xdr:rowOff>
    </xdr:to>
    <xdr:sp macro="" textlink="">
      <xdr:nvSpPr>
        <xdr:cNvPr id="2" name="Rectangle 1">
          <a:extLst>
            <a:ext uri="{FF2B5EF4-FFF2-40B4-BE49-F238E27FC236}">
              <a16:creationId xmlns:a16="http://schemas.microsoft.com/office/drawing/2014/main" id="{9772153A-8742-AE4A-7DAE-F5C11ACC2B32}"/>
            </a:ext>
          </a:extLst>
        </xdr:cNvPr>
        <xdr:cNvSpPr/>
      </xdr:nvSpPr>
      <xdr:spPr>
        <a:xfrm>
          <a:off x="0" y="0"/>
          <a:ext cx="32782933" cy="1295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30</xdr:col>
      <xdr:colOff>404705</xdr:colOff>
      <xdr:row>9</xdr:row>
      <xdr:rowOff>37253</xdr:rowOff>
    </xdr:from>
    <xdr:to>
      <xdr:col>32</xdr:col>
      <xdr:colOff>553408</xdr:colOff>
      <xdr:row>16</xdr:row>
      <xdr:rowOff>113612</xdr:rowOff>
    </xdr:to>
    <xdr:pic>
      <xdr:nvPicPr>
        <xdr:cNvPr id="4" name="Picture 3">
          <a:extLst>
            <a:ext uri="{FF2B5EF4-FFF2-40B4-BE49-F238E27FC236}">
              <a16:creationId xmlns:a16="http://schemas.microsoft.com/office/drawing/2014/main" id="{485A3B18-805B-1549-3002-97F743AB5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96572" y="1815253"/>
          <a:ext cx="1367903" cy="1380226"/>
        </a:xfrm>
        <a:prstGeom prst="rect">
          <a:avLst/>
        </a:prstGeom>
      </xdr:spPr>
    </xdr:pic>
    <xdr:clientData/>
  </xdr:twoCellAnchor>
  <xdr:twoCellAnchor editAs="oneCell">
    <xdr:from>
      <xdr:col>12</xdr:col>
      <xdr:colOff>137160</xdr:colOff>
      <xdr:row>6</xdr:row>
      <xdr:rowOff>185419</xdr:rowOff>
    </xdr:from>
    <xdr:to>
      <xdr:col>33</xdr:col>
      <xdr:colOff>339215</xdr:colOff>
      <xdr:row>18</xdr:row>
      <xdr:rowOff>41098</xdr:rowOff>
    </xdr:to>
    <xdr:pic>
      <xdr:nvPicPr>
        <xdr:cNvPr id="7" name="Picture 6">
          <a:extLst>
            <a:ext uri="{FF2B5EF4-FFF2-40B4-BE49-F238E27FC236}">
              <a16:creationId xmlns:a16="http://schemas.microsoft.com/office/drawing/2014/main" id="{5E229EBF-67AA-1EF9-D47C-9BE278C34FA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45" t="7246" r="2679" b="11595"/>
        <a:stretch/>
      </xdr:blipFill>
      <xdr:spPr bwMode="auto">
        <a:xfrm>
          <a:off x="7452360" y="1404619"/>
          <a:ext cx="14307522" cy="2090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275167</xdr:colOff>
      <xdr:row>31</xdr:row>
      <xdr:rowOff>36408</xdr:rowOff>
    </xdr:from>
    <xdr:to>
      <xdr:col>14</xdr:col>
      <xdr:colOff>1870229</xdr:colOff>
      <xdr:row>35</xdr:row>
      <xdr:rowOff>154943</xdr:rowOff>
    </xdr:to>
    <xdr:pic>
      <xdr:nvPicPr>
        <xdr:cNvPr id="11" name="Picture 10">
          <a:hlinkClick xmlns:r="http://schemas.openxmlformats.org/officeDocument/2006/relationships" r:id="rId3"/>
          <a:extLst>
            <a:ext uri="{FF2B5EF4-FFF2-40B4-BE49-F238E27FC236}">
              <a16:creationId xmlns:a16="http://schemas.microsoft.com/office/drawing/2014/main" id="{A0CC79FB-5D42-90A5-391C-75CCF7976C6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124" t="3687" r="875" b="6912"/>
        <a:stretch/>
      </xdr:blipFill>
      <xdr:spPr bwMode="auto">
        <a:xfrm>
          <a:off x="884767" y="6013875"/>
          <a:ext cx="9519862" cy="1947335"/>
        </a:xfrm>
        <a:prstGeom prst="rect">
          <a:avLst/>
        </a:prstGeom>
        <a:noFill/>
        <a:ln w="28575">
          <a:solidFill>
            <a:srgbClr val="FF65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94826</xdr:colOff>
      <xdr:row>31</xdr:row>
      <xdr:rowOff>70275</xdr:rowOff>
    </xdr:from>
    <xdr:to>
      <xdr:col>47</xdr:col>
      <xdr:colOff>472017</xdr:colOff>
      <xdr:row>35</xdr:row>
      <xdr:rowOff>148223</xdr:rowOff>
    </xdr:to>
    <xdr:pic>
      <xdr:nvPicPr>
        <xdr:cNvPr id="13" name="Picture 12">
          <a:hlinkClick xmlns:r="http://schemas.openxmlformats.org/officeDocument/2006/relationships" r:id="rId5"/>
          <a:extLst>
            <a:ext uri="{FF2B5EF4-FFF2-40B4-BE49-F238E27FC236}">
              <a16:creationId xmlns:a16="http://schemas.microsoft.com/office/drawing/2014/main" id="{96F32C48-A8D5-B31B-DF60-DA2AEC04F65E}"/>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128" t="5001" r="1436" b="4499"/>
        <a:stretch/>
      </xdr:blipFill>
      <xdr:spPr bwMode="auto">
        <a:xfrm>
          <a:off x="20905893" y="6047742"/>
          <a:ext cx="9521191" cy="1906748"/>
        </a:xfrm>
        <a:prstGeom prst="rect">
          <a:avLst/>
        </a:prstGeom>
        <a:noFill/>
        <a:ln w="28575">
          <a:solidFill>
            <a:srgbClr val="FF65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213360</xdr:colOff>
      <xdr:row>0</xdr:row>
      <xdr:rowOff>0</xdr:rowOff>
    </xdr:from>
    <xdr:to>
      <xdr:col>10</xdr:col>
      <xdr:colOff>51100</xdr:colOff>
      <xdr:row>11</xdr:row>
      <xdr:rowOff>8125</xdr:rowOff>
    </xdr:to>
    <xdr:pic>
      <xdr:nvPicPr>
        <xdr:cNvPr id="15" name="Picture 14">
          <a:extLst>
            <a:ext uri="{FF2B5EF4-FFF2-40B4-BE49-F238E27FC236}">
              <a16:creationId xmlns:a16="http://schemas.microsoft.com/office/drawing/2014/main" id="{DBA8C300-EB22-B00F-346C-4853BE05993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3360" y="0"/>
          <a:ext cx="5933740" cy="2158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51</xdr:col>
      <xdr:colOff>49695</xdr:colOff>
      <xdr:row>62</xdr:row>
      <xdr:rowOff>49696</xdr:rowOff>
    </xdr:to>
    <xdr:sp macro="" textlink="">
      <xdr:nvSpPr>
        <xdr:cNvPr id="2" name="Rectangle 1">
          <a:extLst>
            <a:ext uri="{FF2B5EF4-FFF2-40B4-BE49-F238E27FC236}">
              <a16:creationId xmlns:a16="http://schemas.microsoft.com/office/drawing/2014/main" id="{806A106E-85FD-1F98-475D-B43AF6F326C0}"/>
            </a:ext>
          </a:extLst>
        </xdr:cNvPr>
        <xdr:cNvSpPr/>
      </xdr:nvSpPr>
      <xdr:spPr>
        <a:xfrm>
          <a:off x="0" y="0"/>
          <a:ext cx="31308260" cy="11347174"/>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00"/>
        </a:p>
      </xdr:txBody>
    </xdr:sp>
    <xdr:clientData/>
  </xdr:twoCellAnchor>
  <xdr:twoCellAnchor>
    <xdr:from>
      <xdr:col>11</xdr:col>
      <xdr:colOff>31723</xdr:colOff>
      <xdr:row>1</xdr:row>
      <xdr:rowOff>53267</xdr:rowOff>
    </xdr:from>
    <xdr:to>
      <xdr:col>16</xdr:col>
      <xdr:colOff>449711</xdr:colOff>
      <xdr:row>7</xdr:row>
      <xdr:rowOff>36023</xdr:rowOff>
    </xdr:to>
    <xdr:grpSp>
      <xdr:nvGrpSpPr>
        <xdr:cNvPr id="3" name="Group 2">
          <a:extLst>
            <a:ext uri="{FF2B5EF4-FFF2-40B4-BE49-F238E27FC236}">
              <a16:creationId xmlns:a16="http://schemas.microsoft.com/office/drawing/2014/main" id="{D23DA2FC-A34E-368B-A613-6E91508DC497}"/>
            </a:ext>
          </a:extLst>
        </xdr:cNvPr>
        <xdr:cNvGrpSpPr/>
      </xdr:nvGrpSpPr>
      <xdr:grpSpPr>
        <a:xfrm>
          <a:off x="6737323" y="239534"/>
          <a:ext cx="3465988" cy="1100356"/>
          <a:chOff x="5282358" y="330713"/>
          <a:chExt cx="3495296" cy="1037833"/>
        </a:xfrm>
      </xdr:grpSpPr>
      <xdr:sp macro="" textlink="">
        <xdr:nvSpPr>
          <xdr:cNvPr id="4" name="Rectangle: Rounded Corners 3">
            <a:extLst>
              <a:ext uri="{FF2B5EF4-FFF2-40B4-BE49-F238E27FC236}">
                <a16:creationId xmlns:a16="http://schemas.microsoft.com/office/drawing/2014/main" id="{31E7006A-CFC3-ABAD-67F2-318F812F73A2}"/>
              </a:ext>
            </a:extLst>
          </xdr:cNvPr>
          <xdr:cNvSpPr/>
        </xdr:nvSpPr>
        <xdr:spPr>
          <a:xfrm>
            <a:off x="5282358" y="330713"/>
            <a:ext cx="3495296" cy="1037833"/>
          </a:xfrm>
          <a:prstGeom prst="roundRect">
            <a:avLst/>
          </a:prstGeom>
          <a:solidFill>
            <a:srgbClr val="FF6500"/>
          </a:solid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A1F4B993-406B-FC3E-3D73-2B1FB8C8295A}"/>
              </a:ext>
            </a:extLst>
          </xdr:cNvPr>
          <xdr:cNvSpPr txBox="1"/>
        </xdr:nvSpPr>
        <xdr:spPr>
          <a:xfrm>
            <a:off x="5363309" y="431570"/>
            <a:ext cx="3341076" cy="490318"/>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tx1"/>
                </a:solidFill>
                <a:effectLst/>
                <a:latin typeface="+mn-lt"/>
                <a:ea typeface="+mn-ea"/>
                <a:cs typeface="+mn-cs"/>
              </a:rPr>
              <a:t>متوسط الأداء للموظفين في 2024</a:t>
            </a:r>
            <a:r>
              <a:rPr lang="ar-EG" sz="2000" b="1">
                <a:solidFill>
                  <a:schemeClr val="tx1"/>
                </a:solidFill>
              </a:rPr>
              <a:t> </a:t>
            </a:r>
            <a:endParaRPr lang="en-US" sz="2000" b="1">
              <a:solidFill>
                <a:schemeClr val="tx1"/>
              </a:solidFill>
            </a:endParaRPr>
          </a:p>
        </xdr:txBody>
      </xdr:sp>
      <xdr:sp macro="" textlink="'Pivot Tables'!A11">
        <xdr:nvSpPr>
          <xdr:cNvPr id="6" name="TextBox 5">
            <a:extLst>
              <a:ext uri="{FF2B5EF4-FFF2-40B4-BE49-F238E27FC236}">
                <a16:creationId xmlns:a16="http://schemas.microsoft.com/office/drawing/2014/main" id="{135285E9-9A2A-B771-F96E-F971B31B62B7}"/>
              </a:ext>
            </a:extLst>
          </xdr:cNvPr>
          <xdr:cNvSpPr txBox="1"/>
        </xdr:nvSpPr>
        <xdr:spPr>
          <a:xfrm>
            <a:off x="5594536" y="974200"/>
            <a:ext cx="3139155" cy="329993"/>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E3B277-9B32-4550-ACA6-7CDB6654B075}" type="TxLink">
              <a:rPr lang="en-US" sz="2400" b="1" i="0" u="none" strike="noStrike">
                <a:solidFill>
                  <a:schemeClr val="tx1"/>
                </a:solidFill>
                <a:latin typeface="Calibri"/>
                <a:cs typeface="Calibri"/>
              </a:rPr>
              <a:pPr algn="ctr"/>
              <a:t>82%</a:t>
            </a:fld>
            <a:endParaRPr lang="en-US" sz="2400" b="1">
              <a:solidFill>
                <a:schemeClr val="tx1"/>
              </a:solidFill>
            </a:endParaRPr>
          </a:p>
        </xdr:txBody>
      </xdr:sp>
    </xdr:grpSp>
    <xdr:clientData/>
  </xdr:twoCellAnchor>
  <xdr:twoCellAnchor editAs="oneCell">
    <xdr:from>
      <xdr:col>0</xdr:col>
      <xdr:colOff>152400</xdr:colOff>
      <xdr:row>0</xdr:row>
      <xdr:rowOff>0</xdr:rowOff>
    </xdr:from>
    <xdr:to>
      <xdr:col>10</xdr:col>
      <xdr:colOff>33866</xdr:colOff>
      <xdr:row>7</xdr:row>
      <xdr:rowOff>183773</xdr:rowOff>
    </xdr:to>
    <xdr:pic>
      <xdr:nvPicPr>
        <xdr:cNvPr id="8" name="Picture 7">
          <a:extLst>
            <a:ext uri="{FF2B5EF4-FFF2-40B4-BE49-F238E27FC236}">
              <a16:creationId xmlns:a16="http://schemas.microsoft.com/office/drawing/2014/main" id="{20A95ECF-9469-E2C5-50CA-540A30B94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0"/>
          <a:ext cx="5977466" cy="148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79091</xdr:colOff>
      <xdr:row>1</xdr:row>
      <xdr:rowOff>53267</xdr:rowOff>
    </xdr:from>
    <xdr:to>
      <xdr:col>50</xdr:col>
      <xdr:colOff>492990</xdr:colOff>
      <xdr:row>7</xdr:row>
      <xdr:rowOff>36023</xdr:rowOff>
    </xdr:to>
    <xdr:sp macro="" textlink="">
      <xdr:nvSpPr>
        <xdr:cNvPr id="16" name="Rectangle: Rounded Corners 15">
          <a:extLst>
            <a:ext uri="{FF2B5EF4-FFF2-40B4-BE49-F238E27FC236}">
              <a16:creationId xmlns:a16="http://schemas.microsoft.com/office/drawing/2014/main" id="{6A857CE9-49D0-4007-A7EF-38F694CF2F18}"/>
            </a:ext>
          </a:extLst>
        </xdr:cNvPr>
        <xdr:cNvSpPr/>
      </xdr:nvSpPr>
      <xdr:spPr>
        <a:xfrm>
          <a:off x="27511091" y="239534"/>
          <a:ext cx="3461899" cy="1100356"/>
        </a:xfrm>
        <a:prstGeom prst="roundRect">
          <a:avLst/>
        </a:prstGeom>
        <a:solidFill>
          <a:srgbClr val="FF6500"/>
        </a:solid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530315</xdr:colOff>
      <xdr:row>1</xdr:row>
      <xdr:rowOff>53267</xdr:rowOff>
    </xdr:from>
    <xdr:to>
      <xdr:col>23</xdr:col>
      <xdr:colOff>338703</xdr:colOff>
      <xdr:row>7</xdr:row>
      <xdr:rowOff>36023</xdr:rowOff>
    </xdr:to>
    <xdr:grpSp>
      <xdr:nvGrpSpPr>
        <xdr:cNvPr id="7" name="Group 6">
          <a:extLst>
            <a:ext uri="{FF2B5EF4-FFF2-40B4-BE49-F238E27FC236}">
              <a16:creationId xmlns:a16="http://schemas.microsoft.com/office/drawing/2014/main" id="{51874305-3DA6-8E77-7FF2-79FBA3147465}"/>
            </a:ext>
          </a:extLst>
        </xdr:cNvPr>
        <xdr:cNvGrpSpPr/>
      </xdr:nvGrpSpPr>
      <xdr:grpSpPr>
        <a:xfrm>
          <a:off x="10893515" y="239534"/>
          <a:ext cx="3465988" cy="1100356"/>
          <a:chOff x="8833642" y="330713"/>
          <a:chExt cx="3495296" cy="1037833"/>
        </a:xfrm>
        <a:solidFill>
          <a:srgbClr val="FF6500"/>
        </a:solidFill>
      </xdr:grpSpPr>
      <xdr:sp macro="" textlink="">
        <xdr:nvSpPr>
          <xdr:cNvPr id="9" name="Rectangle: Rounded Corners 8">
            <a:extLst>
              <a:ext uri="{FF2B5EF4-FFF2-40B4-BE49-F238E27FC236}">
                <a16:creationId xmlns:a16="http://schemas.microsoft.com/office/drawing/2014/main" id="{D6233BBA-4D1C-42E8-91D9-A9E18449462B}"/>
              </a:ext>
            </a:extLst>
          </xdr:cNvPr>
          <xdr:cNvSpPr/>
        </xdr:nvSpPr>
        <xdr:spPr>
          <a:xfrm>
            <a:off x="8833642" y="330713"/>
            <a:ext cx="3495296" cy="1037833"/>
          </a:xfrm>
          <a:prstGeom prst="roundRect">
            <a:avLst/>
          </a:prstGeom>
          <a:grp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46F576A2-F551-3A6E-BAEB-68D1F190D16F}"/>
              </a:ext>
            </a:extLst>
          </xdr:cNvPr>
          <xdr:cNvSpPr txBox="1"/>
        </xdr:nvSpPr>
        <xdr:spPr>
          <a:xfrm>
            <a:off x="8894885" y="395653"/>
            <a:ext cx="3341077" cy="439615"/>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dk1"/>
                </a:solidFill>
                <a:effectLst/>
                <a:latin typeface="+mn-lt"/>
                <a:ea typeface="+mn-ea"/>
                <a:cs typeface="+mn-cs"/>
              </a:rPr>
              <a:t>متوسط الأداء للموظفين في 2025</a:t>
            </a:r>
            <a:r>
              <a:rPr lang="ar-EG" sz="2000" b="1"/>
              <a:t> </a:t>
            </a:r>
            <a:endParaRPr lang="en-US" sz="2000" b="1"/>
          </a:p>
        </xdr:txBody>
      </xdr:sp>
      <xdr:sp macro="" textlink="'Pivot Tables'!B11">
        <xdr:nvSpPr>
          <xdr:cNvPr id="19" name="TextBox 18">
            <a:extLst>
              <a:ext uri="{FF2B5EF4-FFF2-40B4-BE49-F238E27FC236}">
                <a16:creationId xmlns:a16="http://schemas.microsoft.com/office/drawing/2014/main" id="{A05A8ACD-3134-B1A3-1011-B94A1191EE9D}"/>
              </a:ext>
            </a:extLst>
          </xdr:cNvPr>
          <xdr:cNvSpPr txBox="1"/>
        </xdr:nvSpPr>
        <xdr:spPr>
          <a:xfrm>
            <a:off x="8880231" y="923192"/>
            <a:ext cx="3355731" cy="322384"/>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721E1A-B542-4833-B824-ACC68875CA94}" type="TxLink">
              <a:rPr lang="en-US" sz="2400" b="1" i="0" u="none" strike="noStrike">
                <a:solidFill>
                  <a:srgbClr val="000000"/>
                </a:solidFill>
                <a:latin typeface="Calibri"/>
                <a:cs typeface="Calibri"/>
              </a:rPr>
              <a:pPr algn="ctr"/>
              <a:t>71%</a:t>
            </a:fld>
            <a:endParaRPr lang="en-US" sz="2400" b="1"/>
          </a:p>
        </xdr:txBody>
      </xdr:sp>
    </xdr:grpSp>
    <xdr:clientData/>
  </xdr:twoCellAnchor>
  <xdr:twoCellAnchor>
    <xdr:from>
      <xdr:col>24</xdr:col>
      <xdr:colOff>419307</xdr:colOff>
      <xdr:row>1</xdr:row>
      <xdr:rowOff>53267</xdr:rowOff>
    </xdr:from>
    <xdr:to>
      <xdr:col>30</xdr:col>
      <xdr:colOff>227695</xdr:colOff>
      <xdr:row>7</xdr:row>
      <xdr:rowOff>36023</xdr:rowOff>
    </xdr:to>
    <xdr:grpSp>
      <xdr:nvGrpSpPr>
        <xdr:cNvPr id="14" name="Group 13">
          <a:extLst>
            <a:ext uri="{FF2B5EF4-FFF2-40B4-BE49-F238E27FC236}">
              <a16:creationId xmlns:a16="http://schemas.microsoft.com/office/drawing/2014/main" id="{BB7FCC84-5C0F-E364-8CAB-F0AFB7DC93D6}"/>
            </a:ext>
          </a:extLst>
        </xdr:cNvPr>
        <xdr:cNvGrpSpPr/>
      </xdr:nvGrpSpPr>
      <xdr:grpSpPr>
        <a:xfrm>
          <a:off x="15049707" y="239534"/>
          <a:ext cx="3465988" cy="1100356"/>
          <a:chOff x="12560772" y="330713"/>
          <a:chExt cx="3495296" cy="1037833"/>
        </a:xfrm>
        <a:solidFill>
          <a:srgbClr val="FF6500"/>
        </a:solidFill>
      </xdr:grpSpPr>
      <xdr:sp macro="" textlink="">
        <xdr:nvSpPr>
          <xdr:cNvPr id="17" name="Rectangle: Rounded Corners 16">
            <a:extLst>
              <a:ext uri="{FF2B5EF4-FFF2-40B4-BE49-F238E27FC236}">
                <a16:creationId xmlns:a16="http://schemas.microsoft.com/office/drawing/2014/main" id="{2F7F9BCB-3F35-4AE1-A85A-7E0F27DFF5CE}"/>
              </a:ext>
            </a:extLst>
          </xdr:cNvPr>
          <xdr:cNvSpPr/>
        </xdr:nvSpPr>
        <xdr:spPr>
          <a:xfrm>
            <a:off x="12560772" y="330713"/>
            <a:ext cx="3495296" cy="1037833"/>
          </a:xfrm>
          <a:prstGeom prst="roundRect">
            <a:avLst/>
          </a:prstGeom>
          <a:grp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83605186-0A05-4394-CDB9-BB3A48E51004}"/>
              </a:ext>
            </a:extLst>
          </xdr:cNvPr>
          <xdr:cNvSpPr txBox="1"/>
        </xdr:nvSpPr>
        <xdr:spPr>
          <a:xfrm>
            <a:off x="12616962" y="381000"/>
            <a:ext cx="3385038" cy="381000"/>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dk1"/>
                </a:solidFill>
                <a:effectLst/>
                <a:latin typeface="+mn-lt"/>
                <a:ea typeface="+mn-ea"/>
                <a:cs typeface="+mn-cs"/>
              </a:rPr>
              <a:t>متوسط التغير في اداء الموظف</a:t>
            </a:r>
            <a:r>
              <a:rPr lang="ar-EG" sz="2000" b="1"/>
              <a:t> </a:t>
            </a:r>
            <a:endParaRPr lang="en-US" sz="2000" b="1"/>
          </a:p>
        </xdr:txBody>
      </xdr:sp>
      <xdr:sp macro="" textlink="'Pivot Tables'!C11">
        <xdr:nvSpPr>
          <xdr:cNvPr id="21" name="TextBox 20">
            <a:extLst>
              <a:ext uri="{FF2B5EF4-FFF2-40B4-BE49-F238E27FC236}">
                <a16:creationId xmlns:a16="http://schemas.microsoft.com/office/drawing/2014/main" id="{A6C185DF-5A67-9077-6F51-056DB854A882}"/>
              </a:ext>
            </a:extLst>
          </xdr:cNvPr>
          <xdr:cNvSpPr txBox="1"/>
        </xdr:nvSpPr>
        <xdr:spPr>
          <a:xfrm>
            <a:off x="12631615" y="805962"/>
            <a:ext cx="3341077" cy="410307"/>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8DD7D0-C128-47AA-99FD-E08814C81286}" type="TxLink">
              <a:rPr lang="en-US" sz="2400" b="1" i="0" u="none" strike="noStrike">
                <a:solidFill>
                  <a:srgbClr val="000000"/>
                </a:solidFill>
                <a:latin typeface="Calibri"/>
                <a:cs typeface="Calibri"/>
              </a:rPr>
              <a:pPr algn="ctr"/>
              <a:t>11%</a:t>
            </a:fld>
            <a:endParaRPr lang="en-US" sz="2400" b="1"/>
          </a:p>
        </xdr:txBody>
      </xdr:sp>
    </xdr:grpSp>
    <xdr:clientData/>
  </xdr:twoCellAnchor>
  <xdr:twoCellAnchor>
    <xdr:from>
      <xdr:col>31</xdr:col>
      <xdr:colOff>308299</xdr:colOff>
      <xdr:row>1</xdr:row>
      <xdr:rowOff>53267</xdr:rowOff>
    </xdr:from>
    <xdr:to>
      <xdr:col>37</xdr:col>
      <xdr:colOff>113814</xdr:colOff>
      <xdr:row>7</xdr:row>
      <xdr:rowOff>36023</xdr:rowOff>
    </xdr:to>
    <xdr:grpSp>
      <xdr:nvGrpSpPr>
        <xdr:cNvPr id="13" name="Group 12">
          <a:extLst>
            <a:ext uri="{FF2B5EF4-FFF2-40B4-BE49-F238E27FC236}">
              <a16:creationId xmlns:a16="http://schemas.microsoft.com/office/drawing/2014/main" id="{8D579823-E234-505C-EEB0-A7FBE02F0406}"/>
            </a:ext>
          </a:extLst>
        </xdr:cNvPr>
        <xdr:cNvGrpSpPr/>
      </xdr:nvGrpSpPr>
      <xdr:grpSpPr>
        <a:xfrm>
          <a:off x="19205899" y="239534"/>
          <a:ext cx="3463115" cy="1100356"/>
          <a:chOff x="16287902" y="330713"/>
          <a:chExt cx="3495296" cy="1037833"/>
        </a:xfrm>
        <a:solidFill>
          <a:srgbClr val="FF6500"/>
        </a:solidFill>
      </xdr:grpSpPr>
      <xdr:sp macro="" textlink="">
        <xdr:nvSpPr>
          <xdr:cNvPr id="10" name="Rectangle: Rounded Corners 9">
            <a:extLst>
              <a:ext uri="{FF2B5EF4-FFF2-40B4-BE49-F238E27FC236}">
                <a16:creationId xmlns:a16="http://schemas.microsoft.com/office/drawing/2014/main" id="{99F64769-5BEC-4182-AEEE-41763B0C1C4E}"/>
              </a:ext>
            </a:extLst>
          </xdr:cNvPr>
          <xdr:cNvSpPr/>
        </xdr:nvSpPr>
        <xdr:spPr>
          <a:xfrm>
            <a:off x="16287902" y="330713"/>
            <a:ext cx="3495296" cy="1037833"/>
          </a:xfrm>
          <a:prstGeom prst="roundRect">
            <a:avLst/>
          </a:prstGeom>
          <a:grp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5F3ECD9C-4AF2-82FB-3217-3D78D520D077}"/>
              </a:ext>
            </a:extLst>
          </xdr:cNvPr>
          <xdr:cNvSpPr txBox="1"/>
        </xdr:nvSpPr>
        <xdr:spPr>
          <a:xfrm>
            <a:off x="16383000" y="410308"/>
            <a:ext cx="3267808" cy="395654"/>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dk1"/>
                </a:solidFill>
                <a:effectLst/>
                <a:latin typeface="+mn-lt"/>
                <a:ea typeface="+mn-ea"/>
                <a:cs typeface="+mn-cs"/>
              </a:rPr>
              <a:t>متوسط العمر</a:t>
            </a:r>
            <a:r>
              <a:rPr lang="ar-EG" sz="2000" b="1"/>
              <a:t> </a:t>
            </a:r>
            <a:endParaRPr lang="en-US" sz="2000" b="1"/>
          </a:p>
        </xdr:txBody>
      </xdr:sp>
      <xdr:sp macro="" textlink="'Pivot Tables'!D11">
        <xdr:nvSpPr>
          <xdr:cNvPr id="23" name="TextBox 22">
            <a:extLst>
              <a:ext uri="{FF2B5EF4-FFF2-40B4-BE49-F238E27FC236}">
                <a16:creationId xmlns:a16="http://schemas.microsoft.com/office/drawing/2014/main" id="{C6AEB356-3419-9471-107C-63F2BF16ADC2}"/>
              </a:ext>
            </a:extLst>
          </xdr:cNvPr>
          <xdr:cNvSpPr txBox="1"/>
        </xdr:nvSpPr>
        <xdr:spPr>
          <a:xfrm>
            <a:off x="16324385" y="849923"/>
            <a:ext cx="3370384" cy="381000"/>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09F111-923D-42D0-8492-D2D72E1B900D}" type="TxLink">
              <a:rPr lang="en-US" sz="2400" b="1" i="0" u="none" strike="noStrike">
                <a:solidFill>
                  <a:srgbClr val="000000"/>
                </a:solidFill>
                <a:latin typeface="Calibri"/>
                <a:cs typeface="Calibri"/>
              </a:rPr>
              <a:pPr algn="ctr"/>
              <a:t>50.9</a:t>
            </a:fld>
            <a:endParaRPr lang="en-US" sz="2400" b="1"/>
          </a:p>
        </xdr:txBody>
      </xdr:sp>
    </xdr:grpSp>
    <xdr:clientData/>
  </xdr:twoCellAnchor>
  <xdr:twoCellAnchor>
    <xdr:from>
      <xdr:col>38</xdr:col>
      <xdr:colOff>194418</xdr:colOff>
      <xdr:row>1</xdr:row>
      <xdr:rowOff>53267</xdr:rowOff>
    </xdr:from>
    <xdr:to>
      <xdr:col>43</xdr:col>
      <xdr:colOff>608087</xdr:colOff>
      <xdr:row>7</xdr:row>
      <xdr:rowOff>36023</xdr:rowOff>
    </xdr:to>
    <xdr:grpSp>
      <xdr:nvGrpSpPr>
        <xdr:cNvPr id="12" name="Group 11">
          <a:extLst>
            <a:ext uri="{FF2B5EF4-FFF2-40B4-BE49-F238E27FC236}">
              <a16:creationId xmlns:a16="http://schemas.microsoft.com/office/drawing/2014/main" id="{043CCE0A-D619-C22C-157E-856DAA02332C}"/>
            </a:ext>
          </a:extLst>
        </xdr:cNvPr>
        <xdr:cNvGrpSpPr/>
      </xdr:nvGrpSpPr>
      <xdr:grpSpPr>
        <a:xfrm>
          <a:off x="23359218" y="239534"/>
          <a:ext cx="3461669" cy="1100356"/>
          <a:chOff x="20015032" y="330713"/>
          <a:chExt cx="3495296" cy="1037833"/>
        </a:xfrm>
        <a:solidFill>
          <a:srgbClr val="FF6500"/>
        </a:solidFill>
      </xdr:grpSpPr>
      <xdr:sp macro="" textlink="">
        <xdr:nvSpPr>
          <xdr:cNvPr id="11" name="Rectangle: Rounded Corners 10">
            <a:extLst>
              <a:ext uri="{FF2B5EF4-FFF2-40B4-BE49-F238E27FC236}">
                <a16:creationId xmlns:a16="http://schemas.microsoft.com/office/drawing/2014/main" id="{09C9BC64-2729-4FDC-9ACA-76B4E6D66F18}"/>
              </a:ext>
            </a:extLst>
          </xdr:cNvPr>
          <xdr:cNvSpPr/>
        </xdr:nvSpPr>
        <xdr:spPr>
          <a:xfrm>
            <a:off x="20015032" y="330713"/>
            <a:ext cx="3495296" cy="1037833"/>
          </a:xfrm>
          <a:prstGeom prst="roundRect">
            <a:avLst/>
          </a:prstGeom>
          <a:grpFill/>
          <a:ln w="28575">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EBF1496B-A887-F4F3-F56E-2BB1C62601DB}"/>
              </a:ext>
            </a:extLst>
          </xdr:cNvPr>
          <xdr:cNvSpPr txBox="1"/>
        </xdr:nvSpPr>
        <xdr:spPr>
          <a:xfrm>
            <a:off x="20090423" y="395654"/>
            <a:ext cx="3370385" cy="424961"/>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dk1"/>
                </a:solidFill>
                <a:effectLst/>
                <a:latin typeface="+mn-lt"/>
                <a:ea typeface="+mn-ea"/>
                <a:cs typeface="+mn-cs"/>
              </a:rPr>
              <a:t>متوسط سنين الخبرة</a:t>
            </a:r>
            <a:r>
              <a:rPr lang="ar-EG" sz="2000" b="1"/>
              <a:t> </a:t>
            </a:r>
            <a:endParaRPr lang="en-US" sz="2000" b="1"/>
          </a:p>
        </xdr:txBody>
      </xdr:sp>
      <xdr:sp macro="" textlink="'Pivot Tables'!E11">
        <xdr:nvSpPr>
          <xdr:cNvPr id="25" name="TextBox 24">
            <a:extLst>
              <a:ext uri="{FF2B5EF4-FFF2-40B4-BE49-F238E27FC236}">
                <a16:creationId xmlns:a16="http://schemas.microsoft.com/office/drawing/2014/main" id="{A234184F-CBDE-30C8-8144-FC6C76945BC3}"/>
              </a:ext>
            </a:extLst>
          </xdr:cNvPr>
          <xdr:cNvSpPr txBox="1"/>
        </xdr:nvSpPr>
        <xdr:spPr>
          <a:xfrm>
            <a:off x="20105077" y="879231"/>
            <a:ext cx="3355731" cy="395654"/>
          </a:xfrm>
          <a:prstGeom prst="rect">
            <a:avLst/>
          </a:prstGeom>
          <a:grp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0641DD-0A7D-4FA6-8504-12842BBB50AD}" type="TxLink">
              <a:rPr lang="en-US" sz="2400" b="1" i="0" u="none" strike="noStrike">
                <a:solidFill>
                  <a:srgbClr val="000000"/>
                </a:solidFill>
                <a:latin typeface="Calibri"/>
                <a:cs typeface="Calibri"/>
              </a:rPr>
              <a:pPr algn="ctr"/>
              <a:t>14.6</a:t>
            </a:fld>
            <a:endParaRPr lang="en-US" sz="2400" b="1"/>
          </a:p>
        </xdr:txBody>
      </xdr:sp>
    </xdr:grpSp>
    <xdr:clientData/>
  </xdr:twoCellAnchor>
  <xdr:twoCellAnchor>
    <xdr:from>
      <xdr:col>45</xdr:col>
      <xdr:colOff>120121</xdr:colOff>
      <xdr:row>2</xdr:row>
      <xdr:rowOff>12743</xdr:rowOff>
    </xdr:from>
    <xdr:to>
      <xdr:col>50</xdr:col>
      <xdr:colOff>438417</xdr:colOff>
      <xdr:row>4</xdr:row>
      <xdr:rowOff>115319</xdr:rowOff>
    </xdr:to>
    <xdr:sp macro="" textlink="">
      <xdr:nvSpPr>
        <xdr:cNvPr id="26" name="TextBox 25">
          <a:extLst>
            <a:ext uri="{FF2B5EF4-FFF2-40B4-BE49-F238E27FC236}">
              <a16:creationId xmlns:a16="http://schemas.microsoft.com/office/drawing/2014/main" id="{187B6E60-8586-FA82-A6D3-FD526191AF71}"/>
            </a:ext>
          </a:extLst>
        </xdr:cNvPr>
        <xdr:cNvSpPr txBox="1"/>
      </xdr:nvSpPr>
      <xdr:spPr>
        <a:xfrm>
          <a:off x="27631865" y="384883"/>
          <a:ext cx="3375157" cy="474715"/>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1" i="0" u="none" strike="noStrike">
              <a:solidFill>
                <a:schemeClr val="dk1"/>
              </a:solidFill>
              <a:effectLst/>
              <a:latin typeface="+mn-lt"/>
              <a:ea typeface="+mn-ea"/>
              <a:cs typeface="+mn-cs"/>
            </a:rPr>
            <a:t>عدد الموظفين</a:t>
          </a:r>
          <a:r>
            <a:rPr lang="ar-EG" sz="2000" b="1"/>
            <a:t> </a:t>
          </a:r>
          <a:endParaRPr lang="en-US" sz="2000" b="1"/>
        </a:p>
      </xdr:txBody>
    </xdr:sp>
    <xdr:clientData/>
  </xdr:twoCellAnchor>
  <xdr:twoCellAnchor>
    <xdr:from>
      <xdr:col>45</xdr:col>
      <xdr:colOff>132495</xdr:colOff>
      <xdr:row>4</xdr:row>
      <xdr:rowOff>95638</xdr:rowOff>
    </xdr:from>
    <xdr:to>
      <xdr:col>50</xdr:col>
      <xdr:colOff>406829</xdr:colOff>
      <xdr:row>6</xdr:row>
      <xdr:rowOff>158303</xdr:rowOff>
    </xdr:to>
    <xdr:sp macro="" textlink="'Pivot Tables'!F11">
      <xdr:nvSpPr>
        <xdr:cNvPr id="27" name="TextBox 26">
          <a:extLst>
            <a:ext uri="{FF2B5EF4-FFF2-40B4-BE49-F238E27FC236}">
              <a16:creationId xmlns:a16="http://schemas.microsoft.com/office/drawing/2014/main" id="{F836FAD5-1FEC-0E74-5A59-FE2BE8C82F97}"/>
            </a:ext>
          </a:extLst>
        </xdr:cNvPr>
        <xdr:cNvSpPr txBox="1"/>
      </xdr:nvSpPr>
      <xdr:spPr>
        <a:xfrm>
          <a:off x="27564495" y="840705"/>
          <a:ext cx="3322334" cy="435198"/>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878C6-8248-407B-9C3E-AF1560031498}" type="TxLink">
            <a:rPr lang="en-US" sz="2400" b="1" i="0" u="none" strike="noStrike">
              <a:solidFill>
                <a:srgbClr val="000000"/>
              </a:solidFill>
              <a:latin typeface="Calibri"/>
              <a:cs typeface="Calibri"/>
            </a:rPr>
            <a:pPr algn="ctr"/>
            <a:t>100</a:t>
          </a:fld>
          <a:endParaRPr lang="en-US" sz="2400" b="1"/>
        </a:p>
      </xdr:txBody>
    </xdr:sp>
    <xdr:clientData/>
  </xdr:twoCellAnchor>
  <xdr:twoCellAnchor>
    <xdr:from>
      <xdr:col>6</xdr:col>
      <xdr:colOff>136419</xdr:colOff>
      <xdr:row>8</xdr:row>
      <xdr:rowOff>175722</xdr:rowOff>
    </xdr:from>
    <xdr:to>
      <xdr:col>18</xdr:col>
      <xdr:colOff>330653</xdr:colOff>
      <xdr:row>36</xdr:row>
      <xdr:rowOff>32655</xdr:rowOff>
    </xdr:to>
    <xdr:graphicFrame macro="">
      <xdr:nvGraphicFramePr>
        <xdr:cNvPr id="15" name="Chart 14">
          <a:extLst>
            <a:ext uri="{FF2B5EF4-FFF2-40B4-BE49-F238E27FC236}">
              <a16:creationId xmlns:a16="http://schemas.microsoft.com/office/drawing/2014/main" id="{20268379-85F3-4868-906F-8491A7E4D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480392</xdr:colOff>
      <xdr:row>37</xdr:row>
      <xdr:rowOff>131467</xdr:rowOff>
    </xdr:from>
    <xdr:to>
      <xdr:col>50</xdr:col>
      <xdr:colOff>440267</xdr:colOff>
      <xdr:row>62</xdr:row>
      <xdr:rowOff>1</xdr:rowOff>
    </xdr:to>
    <xdr:graphicFrame macro="">
      <xdr:nvGraphicFramePr>
        <xdr:cNvPr id="28" name="Chart 27">
          <a:extLst>
            <a:ext uri="{FF2B5EF4-FFF2-40B4-BE49-F238E27FC236}">
              <a16:creationId xmlns:a16="http://schemas.microsoft.com/office/drawing/2014/main" id="{06AB16B8-4B01-4331-A773-6461B6B47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202680</xdr:colOff>
      <xdr:row>8</xdr:row>
      <xdr:rowOff>175722</xdr:rowOff>
    </xdr:from>
    <xdr:to>
      <xdr:col>28</xdr:col>
      <xdr:colOff>217621</xdr:colOff>
      <xdr:row>36</xdr:row>
      <xdr:rowOff>32655</xdr:rowOff>
    </xdr:to>
    <xdr:graphicFrame macro="">
      <xdr:nvGraphicFramePr>
        <xdr:cNvPr id="29" name="Chart 28">
          <a:extLst>
            <a:ext uri="{FF2B5EF4-FFF2-40B4-BE49-F238E27FC236}">
              <a16:creationId xmlns:a16="http://schemas.microsoft.com/office/drawing/2014/main" id="{79709F14-2C5C-4BC7-BC98-0C079C17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423334</xdr:colOff>
      <xdr:row>37</xdr:row>
      <xdr:rowOff>131467</xdr:rowOff>
    </xdr:from>
    <xdr:to>
      <xdr:col>30</xdr:col>
      <xdr:colOff>198783</xdr:colOff>
      <xdr:row>62</xdr:row>
      <xdr:rowOff>1</xdr:rowOff>
    </xdr:to>
    <xdr:graphicFrame macro="">
      <xdr:nvGraphicFramePr>
        <xdr:cNvPr id="30" name="Chart 29">
          <a:extLst>
            <a:ext uri="{FF2B5EF4-FFF2-40B4-BE49-F238E27FC236}">
              <a16:creationId xmlns:a16="http://schemas.microsoft.com/office/drawing/2014/main" id="{EE23A14C-66D2-41BB-91C4-BF2E91DBD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8</xdr:row>
      <xdr:rowOff>175722</xdr:rowOff>
    </xdr:from>
    <xdr:to>
      <xdr:col>50</xdr:col>
      <xdr:colOff>567635</xdr:colOff>
      <xdr:row>36</xdr:row>
      <xdr:rowOff>33131</xdr:rowOff>
    </xdr:to>
    <xdr:graphicFrame macro="">
      <xdr:nvGraphicFramePr>
        <xdr:cNvPr id="31" name="Chart 30">
          <a:extLst>
            <a:ext uri="{FF2B5EF4-FFF2-40B4-BE49-F238E27FC236}">
              <a16:creationId xmlns:a16="http://schemas.microsoft.com/office/drawing/2014/main" id="{79856F03-8066-4B7D-9DF0-CD18F616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504120</xdr:colOff>
      <xdr:row>37</xdr:row>
      <xdr:rowOff>132523</xdr:rowOff>
    </xdr:from>
    <xdr:to>
      <xdr:col>17</xdr:col>
      <xdr:colOff>35369</xdr:colOff>
      <xdr:row>62</xdr:row>
      <xdr:rowOff>1</xdr:rowOff>
    </xdr:to>
    <xdr:graphicFrame macro="">
      <xdr:nvGraphicFramePr>
        <xdr:cNvPr id="32" name="Chart 31">
          <a:extLst>
            <a:ext uri="{FF2B5EF4-FFF2-40B4-BE49-F238E27FC236}">
              <a16:creationId xmlns:a16="http://schemas.microsoft.com/office/drawing/2014/main" id="{DAE4399D-723D-4FAA-A4CC-5A32570B3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11</xdr:row>
      <xdr:rowOff>0</xdr:rowOff>
    </xdr:from>
    <xdr:to>
      <xdr:col>6</xdr:col>
      <xdr:colOff>231912</xdr:colOff>
      <xdr:row>34</xdr:row>
      <xdr:rowOff>0</xdr:rowOff>
    </xdr:to>
    <mc:AlternateContent xmlns:mc="http://schemas.openxmlformats.org/markup-compatibility/2006" xmlns:a14="http://schemas.microsoft.com/office/drawing/2010/main">
      <mc:Choice Requires="a14">
        <xdr:graphicFrame macro="">
          <xdr:nvGraphicFramePr>
            <xdr:cNvPr id="34" name="الوظيفة">
              <a:extLst>
                <a:ext uri="{FF2B5EF4-FFF2-40B4-BE49-F238E27FC236}">
                  <a16:creationId xmlns:a16="http://schemas.microsoft.com/office/drawing/2014/main" id="{DEF102E8-F868-4DD7-9F0C-A8F9CAFA5637}"/>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0" y="2048933"/>
              <a:ext cx="3889512" cy="428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15563</xdr:rowOff>
    </xdr:from>
    <xdr:to>
      <xdr:col>6</xdr:col>
      <xdr:colOff>230400</xdr:colOff>
      <xdr:row>42</xdr:row>
      <xdr:rowOff>49696</xdr:rowOff>
    </xdr:to>
    <mc:AlternateContent xmlns:mc="http://schemas.openxmlformats.org/markup-compatibility/2006" xmlns:a14="http://schemas.microsoft.com/office/drawing/2010/main">
      <mc:Choice Requires="a14">
        <xdr:graphicFrame macro="">
          <xdr:nvGraphicFramePr>
            <xdr:cNvPr id="35" name="الموقع">
              <a:extLst>
                <a:ext uri="{FF2B5EF4-FFF2-40B4-BE49-F238E27FC236}">
                  <a16:creationId xmlns:a16="http://schemas.microsoft.com/office/drawing/2014/main" id="{11D1A1FB-E0F1-41DB-B978-68A5DC2DEE39}"/>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0" y="6348630"/>
              <a:ext cx="3888000" cy="1524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163183</xdr:rowOff>
    </xdr:from>
    <xdr:to>
      <xdr:col>6</xdr:col>
      <xdr:colOff>230400</xdr:colOff>
      <xdr:row>51</xdr:row>
      <xdr:rowOff>0</xdr:rowOff>
    </xdr:to>
    <mc:AlternateContent xmlns:mc="http://schemas.openxmlformats.org/markup-compatibility/2006" xmlns:a14="http://schemas.microsoft.com/office/drawing/2010/main">
      <mc:Choice Requires="a14">
        <xdr:graphicFrame macro="">
          <xdr:nvGraphicFramePr>
            <xdr:cNvPr id="36" name="المؤهل الدراسي">
              <a:extLst>
                <a:ext uri="{FF2B5EF4-FFF2-40B4-BE49-F238E27FC236}">
                  <a16:creationId xmlns:a16="http://schemas.microsoft.com/office/drawing/2014/main" id="{3B5B3DA1-A85B-435E-847E-8C6E7BEFDCD1}"/>
                </a:ext>
              </a:extLst>
            </xdr:cNvPr>
            <xdr:cNvGraphicFramePr/>
          </xdr:nvGraphicFramePr>
          <xdr:xfrm>
            <a:off x="0" y="0"/>
            <a:ext cx="0" cy="0"/>
          </xdr:xfrm>
          <a:graphic>
            <a:graphicData uri="http://schemas.microsoft.com/office/drawing/2010/slicer">
              <sle:slicer xmlns:sle="http://schemas.microsoft.com/office/drawing/2010/slicer" name="المؤهل الدراسي"/>
            </a:graphicData>
          </a:graphic>
        </xdr:graphicFrame>
      </mc:Choice>
      <mc:Fallback xmlns="">
        <xdr:sp macro="" textlink="">
          <xdr:nvSpPr>
            <xdr:cNvPr id="0" name=""/>
            <xdr:cNvSpPr>
              <a:spLocks noTextEdit="1"/>
            </xdr:cNvSpPr>
          </xdr:nvSpPr>
          <xdr:spPr>
            <a:xfrm>
              <a:off x="0" y="7986383"/>
              <a:ext cx="3888000" cy="1513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54</xdr:row>
      <xdr:rowOff>47374</xdr:rowOff>
    </xdr:from>
    <xdr:to>
      <xdr:col>5</xdr:col>
      <xdr:colOff>50799</xdr:colOff>
      <xdr:row>61</xdr:row>
      <xdr:rowOff>113445</xdr:rowOff>
    </xdr:to>
    <xdr:pic>
      <xdr:nvPicPr>
        <xdr:cNvPr id="40" name="Picture 39">
          <a:hlinkClick xmlns:r="http://schemas.openxmlformats.org/officeDocument/2006/relationships" r:id="rId8"/>
          <a:extLst>
            <a:ext uri="{FF2B5EF4-FFF2-40B4-BE49-F238E27FC236}">
              <a16:creationId xmlns:a16="http://schemas.microsoft.com/office/drawing/2014/main" id="{E0B356F2-9696-4794-8B41-C8633097D2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28800" y="10105774"/>
          <a:ext cx="1269999" cy="1369938"/>
        </a:xfrm>
        <a:prstGeom prst="rect">
          <a:avLst/>
        </a:prstGeom>
      </xdr:spPr>
    </xdr:pic>
    <xdr:clientData/>
  </xdr:twoCellAnchor>
  <xdr:twoCellAnchor editAs="oneCell">
    <xdr:from>
      <xdr:col>0</xdr:col>
      <xdr:colOff>152400</xdr:colOff>
      <xdr:row>55</xdr:row>
      <xdr:rowOff>16933</xdr:rowOff>
    </xdr:from>
    <xdr:to>
      <xdr:col>2</xdr:col>
      <xdr:colOff>133774</xdr:colOff>
      <xdr:row>61</xdr:row>
      <xdr:rowOff>158759</xdr:rowOff>
    </xdr:to>
    <xdr:pic>
      <xdr:nvPicPr>
        <xdr:cNvPr id="33" name="Picture 32">
          <a:hlinkClick xmlns:r="http://schemas.openxmlformats.org/officeDocument/2006/relationships" r:id="rId10"/>
          <a:extLst>
            <a:ext uri="{FF2B5EF4-FFF2-40B4-BE49-F238E27FC236}">
              <a16:creationId xmlns:a16="http://schemas.microsoft.com/office/drawing/2014/main" id="{0B1BF3A8-AAD0-4D47-8E7F-CE0057AAA0D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2400" y="10261600"/>
          <a:ext cx="1200574" cy="1259426"/>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0.07288</cdr:x>
      <cdr:y>0</cdr:y>
    </cdr:from>
    <cdr:to>
      <cdr:x>0.15342</cdr:x>
      <cdr:y>0.11923</cdr:y>
    </cdr:to>
    <cdr:pic>
      <cdr:nvPicPr>
        <cdr:cNvPr id="5" name="Picture 4">
          <a:extLst xmlns:a="http://schemas.openxmlformats.org/drawingml/2006/main">
            <a:ext uri="{FF2B5EF4-FFF2-40B4-BE49-F238E27FC236}">
              <a16:creationId xmlns:a16="http://schemas.microsoft.com/office/drawing/2014/main" id="{5770D828-A96D-9626-4E0A-C3098DD5CD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47303" y="0"/>
          <a:ext cx="604801" cy="60480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0.2787</cdr:x>
      <cdr:y>0</cdr:y>
    </cdr:from>
    <cdr:to>
      <cdr:x>0.33234</cdr:x>
      <cdr:y>0.13365</cdr:y>
    </cdr:to>
    <cdr:pic>
      <cdr:nvPicPr>
        <cdr:cNvPr id="3" name="Picture 2">
          <a:extLst xmlns:a="http://schemas.openxmlformats.org/drawingml/2006/main">
            <a:ext uri="{FF2B5EF4-FFF2-40B4-BE49-F238E27FC236}">
              <a16:creationId xmlns:a16="http://schemas.microsoft.com/office/drawing/2014/main" id="{F5F71BB3-6767-F57D-BA13-90D52437C2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386667" y="0"/>
          <a:ext cx="651883" cy="60480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0.10899</cdr:x>
      <cdr:y>0</cdr:y>
    </cdr:from>
    <cdr:to>
      <cdr:x>0.21864</cdr:x>
      <cdr:y>0.11892</cdr:y>
    </cdr:to>
    <cdr:pic>
      <cdr:nvPicPr>
        <cdr:cNvPr id="3" name="Picture 2">
          <a:extLst xmlns:a="http://schemas.openxmlformats.org/drawingml/2006/main">
            <a:ext uri="{FF2B5EF4-FFF2-40B4-BE49-F238E27FC236}">
              <a16:creationId xmlns:a16="http://schemas.microsoft.com/office/drawing/2014/main" id="{8D4FAA27-CEB9-DFFD-E236-C1D3718F414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99579" y="0"/>
          <a:ext cx="603210" cy="60321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0.11894</cdr:x>
      <cdr:y>0</cdr:y>
    </cdr:from>
    <cdr:to>
      <cdr:x>0.19389</cdr:x>
      <cdr:y>0.10714</cdr:y>
    </cdr:to>
    <cdr:pic>
      <cdr:nvPicPr>
        <cdr:cNvPr id="3" name="Picture 2">
          <a:extLst xmlns:a="http://schemas.openxmlformats.org/drawingml/2006/main">
            <a:ext uri="{FF2B5EF4-FFF2-40B4-BE49-F238E27FC236}">
              <a16:creationId xmlns:a16="http://schemas.microsoft.com/office/drawing/2014/main" id="{7C910C11-E7C7-CB5F-0692-BE4A0A3DF33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829169" y="0"/>
          <a:ext cx="522572" cy="484829"/>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0.30441</cdr:x>
      <cdr:y>0</cdr:y>
    </cdr:from>
    <cdr:to>
      <cdr:x>0.35168</cdr:x>
      <cdr:y>0.11891</cdr:y>
    </cdr:to>
    <cdr:pic>
      <cdr:nvPicPr>
        <cdr:cNvPr id="3" name="Picture 2">
          <a:extLst xmlns:a="http://schemas.openxmlformats.org/drawingml/2006/main">
            <a:ext uri="{FF2B5EF4-FFF2-40B4-BE49-F238E27FC236}">
              <a16:creationId xmlns:a16="http://schemas.microsoft.com/office/drawing/2014/main" id="{3EED7F22-F3DD-1010-AA8D-7663B289BD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884125" y="0"/>
          <a:ext cx="603210" cy="60321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0.1193</cdr:x>
      <cdr:y>0</cdr:y>
    </cdr:from>
    <cdr:to>
      <cdr:x>0.22371</cdr:x>
      <cdr:y>0.13368</cdr:y>
    </cdr:to>
    <cdr:pic>
      <cdr:nvPicPr>
        <cdr:cNvPr id="3" name="Picture 2">
          <a:extLst xmlns:a="http://schemas.openxmlformats.org/drawingml/2006/main">
            <a:ext uri="{FF2B5EF4-FFF2-40B4-BE49-F238E27FC236}">
              <a16:creationId xmlns:a16="http://schemas.microsoft.com/office/drawing/2014/main" id="{52545190-8EDE-1207-BD1D-87DAA3A7CF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745067" y="0"/>
          <a:ext cx="652035" cy="60480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51</xdr:col>
      <xdr:colOff>265176</xdr:colOff>
      <xdr:row>62</xdr:row>
      <xdr:rowOff>48768</xdr:rowOff>
    </xdr:to>
    <xdr:sp macro="" textlink="">
      <xdr:nvSpPr>
        <xdr:cNvPr id="2" name="Rectangle 1">
          <a:extLst>
            <a:ext uri="{FF2B5EF4-FFF2-40B4-BE49-F238E27FC236}">
              <a16:creationId xmlns:a16="http://schemas.microsoft.com/office/drawing/2014/main" id="{167CCB6A-7EDA-08CE-03C2-CE007869441B}"/>
            </a:ext>
          </a:extLst>
        </xdr:cNvPr>
        <xdr:cNvSpPr/>
      </xdr:nvSpPr>
      <xdr:spPr>
        <a:xfrm>
          <a:off x="0" y="0"/>
          <a:ext cx="31570676" cy="1185976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120897</xdr:colOff>
      <xdr:row>0</xdr:row>
      <xdr:rowOff>0</xdr:rowOff>
    </xdr:from>
    <xdr:to>
      <xdr:col>10</xdr:col>
      <xdr:colOff>129460</xdr:colOff>
      <xdr:row>8</xdr:row>
      <xdr:rowOff>30480</xdr:rowOff>
    </xdr:to>
    <xdr:pic>
      <xdr:nvPicPr>
        <xdr:cNvPr id="3" name="Picture 2">
          <a:extLst>
            <a:ext uri="{FF2B5EF4-FFF2-40B4-BE49-F238E27FC236}">
              <a16:creationId xmlns:a16="http://schemas.microsoft.com/office/drawing/2014/main" id="{3CA30ACC-78FC-3C45-65FB-CD5567958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97" y="0"/>
          <a:ext cx="6104563" cy="1520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42333</xdr:colOff>
      <xdr:row>1</xdr:row>
      <xdr:rowOff>21166</xdr:rowOff>
    </xdr:from>
    <xdr:to>
      <xdr:col>17</xdr:col>
      <xdr:colOff>411310</xdr:colOff>
      <xdr:row>6</xdr:row>
      <xdr:rowOff>165946</xdr:rowOff>
    </xdr:to>
    <xdr:sp macro="" textlink="">
      <xdr:nvSpPr>
        <xdr:cNvPr id="13" name="Rectangle: Rounded Corners 12">
          <a:extLst>
            <a:ext uri="{FF2B5EF4-FFF2-40B4-BE49-F238E27FC236}">
              <a16:creationId xmlns:a16="http://schemas.microsoft.com/office/drawing/2014/main" id="{3EF08EE5-487D-4813-DC75-E3E38588DE03}"/>
            </a:ext>
          </a:extLst>
        </xdr:cNvPr>
        <xdr:cNvSpPr/>
      </xdr:nvSpPr>
      <xdr:spPr>
        <a:xfrm>
          <a:off x="7408333" y="211666"/>
          <a:ext cx="3438144" cy="1097280"/>
        </a:xfrm>
        <a:prstGeom prst="roundRect">
          <a:avLst/>
        </a:prstGeom>
        <a:solidFill>
          <a:srgbClr val="FF6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490009</xdr:colOff>
      <xdr:row>1</xdr:row>
      <xdr:rowOff>21166</xdr:rowOff>
    </xdr:from>
    <xdr:to>
      <xdr:col>42</xdr:col>
      <xdr:colOff>245153</xdr:colOff>
      <xdr:row>6</xdr:row>
      <xdr:rowOff>165946</xdr:rowOff>
    </xdr:to>
    <xdr:sp macro="" textlink="">
      <xdr:nvSpPr>
        <xdr:cNvPr id="14" name="Rectangle: Rounded Corners 13">
          <a:extLst>
            <a:ext uri="{FF2B5EF4-FFF2-40B4-BE49-F238E27FC236}">
              <a16:creationId xmlns:a16="http://schemas.microsoft.com/office/drawing/2014/main" id="{1CB9B595-1A18-4105-8B8B-9CBC44CE7BC8}"/>
            </a:ext>
          </a:extLst>
        </xdr:cNvPr>
        <xdr:cNvSpPr/>
      </xdr:nvSpPr>
      <xdr:spPr>
        <a:xfrm>
          <a:off x="22588009" y="211666"/>
          <a:ext cx="3438144" cy="1097280"/>
        </a:xfrm>
        <a:prstGeom prst="roundRect">
          <a:avLst/>
        </a:prstGeom>
        <a:solidFill>
          <a:srgbClr val="FF6500"/>
        </a:solidFill>
        <a:ln>
          <a:solidFill>
            <a:srgbClr val="FF65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340784</xdr:colOff>
      <xdr:row>1</xdr:row>
      <xdr:rowOff>21166</xdr:rowOff>
    </xdr:from>
    <xdr:to>
      <xdr:col>34</xdr:col>
      <xdr:colOff>95928</xdr:colOff>
      <xdr:row>6</xdr:row>
      <xdr:rowOff>165946</xdr:rowOff>
    </xdr:to>
    <xdr:sp macro="" textlink="">
      <xdr:nvSpPr>
        <xdr:cNvPr id="15" name="Rectangle: Rounded Corners 14">
          <a:extLst>
            <a:ext uri="{FF2B5EF4-FFF2-40B4-BE49-F238E27FC236}">
              <a16:creationId xmlns:a16="http://schemas.microsoft.com/office/drawing/2014/main" id="{D9015C22-6DC5-44CE-8D65-BB6C63CA4EDD}"/>
            </a:ext>
          </a:extLst>
        </xdr:cNvPr>
        <xdr:cNvSpPr/>
      </xdr:nvSpPr>
      <xdr:spPr>
        <a:xfrm>
          <a:off x="17528117" y="211666"/>
          <a:ext cx="3438144" cy="1097280"/>
        </a:xfrm>
        <a:prstGeom prst="roundRect">
          <a:avLst/>
        </a:prstGeom>
        <a:solidFill>
          <a:srgbClr val="FF6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191558</xdr:colOff>
      <xdr:row>1</xdr:row>
      <xdr:rowOff>21166</xdr:rowOff>
    </xdr:from>
    <xdr:to>
      <xdr:col>25</xdr:col>
      <xdr:colOff>560536</xdr:colOff>
      <xdr:row>6</xdr:row>
      <xdr:rowOff>165946</xdr:rowOff>
    </xdr:to>
    <xdr:sp macro="" textlink="">
      <xdr:nvSpPr>
        <xdr:cNvPr id="16" name="Rectangle: Rounded Corners 15">
          <a:extLst>
            <a:ext uri="{FF2B5EF4-FFF2-40B4-BE49-F238E27FC236}">
              <a16:creationId xmlns:a16="http://schemas.microsoft.com/office/drawing/2014/main" id="{69887536-2797-412B-A34D-DECE1E5A30D4}"/>
            </a:ext>
          </a:extLst>
        </xdr:cNvPr>
        <xdr:cNvSpPr/>
      </xdr:nvSpPr>
      <xdr:spPr>
        <a:xfrm>
          <a:off x="12468225" y="211666"/>
          <a:ext cx="3438144" cy="1097280"/>
        </a:xfrm>
        <a:prstGeom prst="roundRect">
          <a:avLst/>
        </a:prstGeom>
        <a:solidFill>
          <a:srgbClr val="FF6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45</xdr:col>
      <xdr:colOff>25400</xdr:colOff>
      <xdr:row>1</xdr:row>
      <xdr:rowOff>21166</xdr:rowOff>
    </xdr:from>
    <xdr:to>
      <xdr:col>50</xdr:col>
      <xdr:colOff>394377</xdr:colOff>
      <xdr:row>6</xdr:row>
      <xdr:rowOff>165946</xdr:rowOff>
    </xdr:to>
    <xdr:sp macro="" textlink="">
      <xdr:nvSpPr>
        <xdr:cNvPr id="17" name="Rectangle: Rounded Corners 16">
          <a:extLst>
            <a:ext uri="{FF2B5EF4-FFF2-40B4-BE49-F238E27FC236}">
              <a16:creationId xmlns:a16="http://schemas.microsoft.com/office/drawing/2014/main" id="{5892B8F9-DB0F-4A99-9303-02612348A138}"/>
            </a:ext>
          </a:extLst>
        </xdr:cNvPr>
        <xdr:cNvSpPr/>
      </xdr:nvSpPr>
      <xdr:spPr>
        <a:xfrm>
          <a:off x="27647900" y="211666"/>
          <a:ext cx="3438144" cy="1097280"/>
        </a:xfrm>
        <a:prstGeom prst="roundRect">
          <a:avLst/>
        </a:prstGeom>
        <a:solidFill>
          <a:srgbClr val="FF6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148167</xdr:colOff>
      <xdr:row>1</xdr:row>
      <xdr:rowOff>105833</xdr:rowOff>
    </xdr:from>
    <xdr:to>
      <xdr:col>17</xdr:col>
      <xdr:colOff>275166</xdr:colOff>
      <xdr:row>3</xdr:row>
      <xdr:rowOff>169333</xdr:rowOff>
    </xdr:to>
    <xdr:sp macro="" textlink="">
      <xdr:nvSpPr>
        <xdr:cNvPr id="18" name="TextBox 17">
          <a:extLst>
            <a:ext uri="{FF2B5EF4-FFF2-40B4-BE49-F238E27FC236}">
              <a16:creationId xmlns:a16="http://schemas.microsoft.com/office/drawing/2014/main" id="{ED451365-7C4B-9D83-E052-5EAC56A1975A}"/>
            </a:ext>
          </a:extLst>
        </xdr:cNvPr>
        <xdr:cNvSpPr txBox="1"/>
      </xdr:nvSpPr>
      <xdr:spPr>
        <a:xfrm>
          <a:off x="7514167" y="296333"/>
          <a:ext cx="3196166" cy="444500"/>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b="1" i="0" u="none" strike="noStrike">
              <a:solidFill>
                <a:schemeClr val="dk1"/>
              </a:solidFill>
              <a:effectLst/>
              <a:latin typeface="+mn-lt"/>
              <a:ea typeface="+mn-ea"/>
              <a:cs typeface="+mn-cs"/>
            </a:rPr>
            <a:t>اجمالي المرتبات</a:t>
          </a:r>
          <a:r>
            <a:rPr lang="ar-EG" sz="2400"/>
            <a:t> </a:t>
          </a:r>
          <a:endParaRPr lang="en-US" sz="2400"/>
        </a:p>
      </xdr:txBody>
    </xdr:sp>
    <xdr:clientData/>
  </xdr:twoCellAnchor>
  <xdr:twoCellAnchor>
    <xdr:from>
      <xdr:col>12</xdr:col>
      <xdr:colOff>190500</xdr:colOff>
      <xdr:row>4</xdr:row>
      <xdr:rowOff>42333</xdr:rowOff>
    </xdr:from>
    <xdr:to>
      <xdr:col>17</xdr:col>
      <xdr:colOff>232833</xdr:colOff>
      <xdr:row>6</xdr:row>
      <xdr:rowOff>105833</xdr:rowOff>
    </xdr:to>
    <xdr:sp macro="" textlink="'Pivot Tables'!A62">
      <xdr:nvSpPr>
        <xdr:cNvPr id="19" name="TextBox 18">
          <a:extLst>
            <a:ext uri="{FF2B5EF4-FFF2-40B4-BE49-F238E27FC236}">
              <a16:creationId xmlns:a16="http://schemas.microsoft.com/office/drawing/2014/main" id="{54331D39-999F-77AC-4DD0-78102DEA768E}"/>
            </a:ext>
          </a:extLst>
        </xdr:cNvPr>
        <xdr:cNvSpPr txBox="1"/>
      </xdr:nvSpPr>
      <xdr:spPr>
        <a:xfrm>
          <a:off x="7556500" y="804333"/>
          <a:ext cx="3111500" cy="444500"/>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84D83-85F2-43FA-8FF8-36D2890536AD}" type="TxLink">
            <a:rPr lang="en-US" sz="2400" b="1" i="0" u="none" strike="noStrike">
              <a:solidFill>
                <a:srgbClr val="000000"/>
              </a:solidFill>
              <a:latin typeface="Calibri"/>
              <a:cs typeface="Calibri"/>
            </a:rPr>
            <a:pPr algn="ctr"/>
            <a:t> EGP 1,317,162 </a:t>
          </a:fld>
          <a:endParaRPr lang="en-US" sz="2400" b="1"/>
        </a:p>
      </xdr:txBody>
    </xdr:sp>
    <xdr:clientData/>
  </xdr:twoCellAnchor>
  <xdr:twoCellAnchor>
    <xdr:from>
      <xdr:col>20</xdr:col>
      <xdr:colOff>275166</xdr:colOff>
      <xdr:row>1</xdr:row>
      <xdr:rowOff>105833</xdr:rowOff>
    </xdr:from>
    <xdr:to>
      <xdr:col>25</xdr:col>
      <xdr:colOff>444500</xdr:colOff>
      <xdr:row>4</xdr:row>
      <xdr:rowOff>0</xdr:rowOff>
    </xdr:to>
    <xdr:sp macro="" textlink="">
      <xdr:nvSpPr>
        <xdr:cNvPr id="20" name="TextBox 19">
          <a:extLst>
            <a:ext uri="{FF2B5EF4-FFF2-40B4-BE49-F238E27FC236}">
              <a16:creationId xmlns:a16="http://schemas.microsoft.com/office/drawing/2014/main" id="{2316515E-74CD-9E77-BB08-AEBC89C6ECA3}"/>
            </a:ext>
          </a:extLst>
        </xdr:cNvPr>
        <xdr:cNvSpPr txBox="1"/>
      </xdr:nvSpPr>
      <xdr:spPr>
        <a:xfrm>
          <a:off x="12551833" y="296333"/>
          <a:ext cx="3238500" cy="465667"/>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b="1" i="0" u="none" strike="noStrike">
              <a:solidFill>
                <a:schemeClr val="dk1"/>
              </a:solidFill>
              <a:effectLst/>
              <a:latin typeface="+mn-lt"/>
              <a:ea typeface="+mn-ea"/>
              <a:cs typeface="+mn-cs"/>
            </a:rPr>
            <a:t>متوسط المرتبات</a:t>
          </a:r>
          <a:r>
            <a:rPr lang="ar-EG" sz="2400"/>
            <a:t> </a:t>
          </a:r>
          <a:endParaRPr lang="en-US" sz="2400"/>
        </a:p>
      </xdr:txBody>
    </xdr:sp>
    <xdr:clientData/>
  </xdr:twoCellAnchor>
  <xdr:twoCellAnchor>
    <xdr:from>
      <xdr:col>20</xdr:col>
      <xdr:colOff>254000</xdr:colOff>
      <xdr:row>4</xdr:row>
      <xdr:rowOff>42333</xdr:rowOff>
    </xdr:from>
    <xdr:to>
      <xdr:col>25</xdr:col>
      <xdr:colOff>465667</xdr:colOff>
      <xdr:row>6</xdr:row>
      <xdr:rowOff>63500</xdr:rowOff>
    </xdr:to>
    <xdr:sp macro="" textlink="'Pivot Tables'!B62">
      <xdr:nvSpPr>
        <xdr:cNvPr id="21" name="TextBox 20">
          <a:extLst>
            <a:ext uri="{FF2B5EF4-FFF2-40B4-BE49-F238E27FC236}">
              <a16:creationId xmlns:a16="http://schemas.microsoft.com/office/drawing/2014/main" id="{F532AB4F-94B5-9953-BA98-21B741333FEB}"/>
            </a:ext>
          </a:extLst>
        </xdr:cNvPr>
        <xdr:cNvSpPr txBox="1"/>
      </xdr:nvSpPr>
      <xdr:spPr>
        <a:xfrm>
          <a:off x="12530667" y="804333"/>
          <a:ext cx="3280833" cy="402167"/>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7DBE9D-5B68-4D60-B441-BFC7188685DE}" type="TxLink">
            <a:rPr lang="en-US" sz="2400" b="1" i="0" u="none" strike="noStrike">
              <a:solidFill>
                <a:srgbClr val="000000"/>
              </a:solidFill>
              <a:latin typeface="Calibri"/>
              <a:cs typeface="Calibri"/>
            </a:rPr>
            <a:pPr algn="ctr"/>
            <a:t> EGP 13,172 </a:t>
          </a:fld>
          <a:endParaRPr lang="en-US" sz="2400" b="1"/>
        </a:p>
      </xdr:txBody>
    </xdr:sp>
    <xdr:clientData/>
  </xdr:twoCellAnchor>
  <xdr:twoCellAnchor>
    <xdr:from>
      <xdr:col>28</xdr:col>
      <xdr:colOff>423334</xdr:colOff>
      <xdr:row>1</xdr:row>
      <xdr:rowOff>126999</xdr:rowOff>
    </xdr:from>
    <xdr:to>
      <xdr:col>34</xdr:col>
      <xdr:colOff>42334</xdr:colOff>
      <xdr:row>4</xdr:row>
      <xdr:rowOff>21166</xdr:rowOff>
    </xdr:to>
    <xdr:sp macro="" textlink="">
      <xdr:nvSpPr>
        <xdr:cNvPr id="22" name="TextBox 21">
          <a:extLst>
            <a:ext uri="{FF2B5EF4-FFF2-40B4-BE49-F238E27FC236}">
              <a16:creationId xmlns:a16="http://schemas.microsoft.com/office/drawing/2014/main" id="{F7D84300-A18D-32EC-EAFE-2E71A1D644D4}"/>
            </a:ext>
          </a:extLst>
        </xdr:cNvPr>
        <xdr:cNvSpPr txBox="1"/>
      </xdr:nvSpPr>
      <xdr:spPr>
        <a:xfrm>
          <a:off x="17610667" y="317499"/>
          <a:ext cx="3302000" cy="465667"/>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b="1" i="0" u="none" strike="noStrike">
              <a:solidFill>
                <a:schemeClr val="dk1"/>
              </a:solidFill>
              <a:effectLst/>
              <a:latin typeface="+mn-lt"/>
              <a:ea typeface="+mn-ea"/>
              <a:cs typeface="+mn-cs"/>
            </a:rPr>
            <a:t>ادني مرتب</a:t>
          </a:r>
          <a:r>
            <a:rPr lang="ar-EG" sz="2400"/>
            <a:t> </a:t>
          </a:r>
          <a:endParaRPr lang="en-US" sz="2400"/>
        </a:p>
      </xdr:txBody>
    </xdr:sp>
    <xdr:clientData/>
  </xdr:twoCellAnchor>
  <xdr:twoCellAnchor>
    <xdr:from>
      <xdr:col>28</xdr:col>
      <xdr:colOff>465667</xdr:colOff>
      <xdr:row>4</xdr:row>
      <xdr:rowOff>21167</xdr:rowOff>
    </xdr:from>
    <xdr:to>
      <xdr:col>34</xdr:col>
      <xdr:colOff>0</xdr:colOff>
      <xdr:row>6</xdr:row>
      <xdr:rowOff>105833</xdr:rowOff>
    </xdr:to>
    <xdr:sp macro="" textlink="'Pivot Tables'!C62">
      <xdr:nvSpPr>
        <xdr:cNvPr id="23" name="TextBox 22">
          <a:extLst>
            <a:ext uri="{FF2B5EF4-FFF2-40B4-BE49-F238E27FC236}">
              <a16:creationId xmlns:a16="http://schemas.microsoft.com/office/drawing/2014/main" id="{A449099A-8E35-8B49-7E43-B1F9CBD7D1A0}"/>
            </a:ext>
          </a:extLst>
        </xdr:cNvPr>
        <xdr:cNvSpPr txBox="1"/>
      </xdr:nvSpPr>
      <xdr:spPr>
        <a:xfrm>
          <a:off x="17653000" y="783167"/>
          <a:ext cx="3217333" cy="465666"/>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3ADDD4-7D86-4EED-A3CD-E5A87268C665}" type="TxLink">
            <a:rPr lang="en-US" sz="2400" b="1" i="0" u="none" strike="noStrike">
              <a:solidFill>
                <a:srgbClr val="000000"/>
              </a:solidFill>
              <a:latin typeface="Calibri"/>
              <a:cs typeface="Calibri"/>
            </a:rPr>
            <a:pPr algn="ctr"/>
            <a:t> EGP 1,428 </a:t>
          </a:fld>
          <a:endParaRPr lang="en-US" sz="2400" b="1"/>
        </a:p>
      </xdr:txBody>
    </xdr:sp>
    <xdr:clientData/>
  </xdr:twoCellAnchor>
  <xdr:twoCellAnchor>
    <xdr:from>
      <xdr:col>36</xdr:col>
      <xdr:colOff>550333</xdr:colOff>
      <xdr:row>1</xdr:row>
      <xdr:rowOff>148167</xdr:rowOff>
    </xdr:from>
    <xdr:to>
      <xdr:col>42</xdr:col>
      <xdr:colOff>169334</xdr:colOff>
      <xdr:row>3</xdr:row>
      <xdr:rowOff>169333</xdr:rowOff>
    </xdr:to>
    <xdr:sp macro="" textlink="">
      <xdr:nvSpPr>
        <xdr:cNvPr id="24" name="TextBox 23">
          <a:extLst>
            <a:ext uri="{FF2B5EF4-FFF2-40B4-BE49-F238E27FC236}">
              <a16:creationId xmlns:a16="http://schemas.microsoft.com/office/drawing/2014/main" id="{83DF13FB-E4EE-D917-F084-158924D9FC17}"/>
            </a:ext>
          </a:extLst>
        </xdr:cNvPr>
        <xdr:cNvSpPr txBox="1"/>
      </xdr:nvSpPr>
      <xdr:spPr>
        <a:xfrm>
          <a:off x="22648333" y="338667"/>
          <a:ext cx="3302001" cy="402166"/>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b="1" i="0" u="none" strike="noStrike">
              <a:solidFill>
                <a:schemeClr val="dk1"/>
              </a:solidFill>
              <a:effectLst/>
              <a:latin typeface="+mn-lt"/>
              <a:ea typeface="+mn-ea"/>
              <a:cs typeface="+mn-cs"/>
            </a:rPr>
            <a:t>اقصي مرتب</a:t>
          </a:r>
          <a:r>
            <a:rPr lang="ar-EG" sz="2400"/>
            <a:t> </a:t>
          </a:r>
          <a:endParaRPr lang="en-US" sz="2400"/>
        </a:p>
      </xdr:txBody>
    </xdr:sp>
    <xdr:clientData/>
  </xdr:twoCellAnchor>
  <xdr:twoCellAnchor>
    <xdr:from>
      <xdr:col>36</xdr:col>
      <xdr:colOff>550333</xdr:colOff>
      <xdr:row>4</xdr:row>
      <xdr:rowOff>21167</xdr:rowOff>
    </xdr:from>
    <xdr:to>
      <xdr:col>42</xdr:col>
      <xdr:colOff>190500</xdr:colOff>
      <xdr:row>6</xdr:row>
      <xdr:rowOff>63500</xdr:rowOff>
    </xdr:to>
    <xdr:sp macro="" textlink="'Pivot Tables'!D62">
      <xdr:nvSpPr>
        <xdr:cNvPr id="25" name="TextBox 24">
          <a:extLst>
            <a:ext uri="{FF2B5EF4-FFF2-40B4-BE49-F238E27FC236}">
              <a16:creationId xmlns:a16="http://schemas.microsoft.com/office/drawing/2014/main" id="{1043D74B-2584-EF51-7918-26161ECE0157}"/>
            </a:ext>
          </a:extLst>
        </xdr:cNvPr>
        <xdr:cNvSpPr txBox="1"/>
      </xdr:nvSpPr>
      <xdr:spPr>
        <a:xfrm>
          <a:off x="22648333" y="783167"/>
          <a:ext cx="3323167" cy="423333"/>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7D8F7D-193F-41F8-ABE5-199589B5D6BF}" type="TxLink">
            <a:rPr lang="en-US" sz="2400" b="1" i="0" u="none" strike="noStrike">
              <a:solidFill>
                <a:srgbClr val="000000"/>
              </a:solidFill>
              <a:latin typeface="Calibri"/>
              <a:cs typeface="Calibri"/>
            </a:rPr>
            <a:pPr algn="ctr"/>
            <a:t> EGP 35,000 </a:t>
          </a:fld>
          <a:endParaRPr lang="en-US" sz="2400" b="1"/>
        </a:p>
      </xdr:txBody>
    </xdr:sp>
    <xdr:clientData/>
  </xdr:twoCellAnchor>
  <xdr:twoCellAnchor>
    <xdr:from>
      <xdr:col>45</xdr:col>
      <xdr:colOff>127000</xdr:colOff>
      <xdr:row>1</xdr:row>
      <xdr:rowOff>126999</xdr:rowOff>
    </xdr:from>
    <xdr:to>
      <xdr:col>50</xdr:col>
      <xdr:colOff>275166</xdr:colOff>
      <xdr:row>4</xdr:row>
      <xdr:rowOff>0</xdr:rowOff>
    </xdr:to>
    <xdr:sp macro="" textlink="">
      <xdr:nvSpPr>
        <xdr:cNvPr id="26" name="TextBox 25">
          <a:extLst>
            <a:ext uri="{FF2B5EF4-FFF2-40B4-BE49-F238E27FC236}">
              <a16:creationId xmlns:a16="http://schemas.microsoft.com/office/drawing/2014/main" id="{DE69044A-42DB-0FE8-E8D5-045FFB4087F9}"/>
            </a:ext>
          </a:extLst>
        </xdr:cNvPr>
        <xdr:cNvSpPr txBox="1"/>
      </xdr:nvSpPr>
      <xdr:spPr>
        <a:xfrm>
          <a:off x="27749500" y="317499"/>
          <a:ext cx="3217333" cy="444501"/>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400" b="1" i="0" u="none" strike="noStrike">
              <a:solidFill>
                <a:schemeClr val="dk1"/>
              </a:solidFill>
              <a:effectLst/>
              <a:latin typeface="+mn-lt"/>
              <a:ea typeface="+mn-ea"/>
              <a:cs typeface="+mn-cs"/>
            </a:rPr>
            <a:t>عدد الموظفين</a:t>
          </a:r>
          <a:r>
            <a:rPr lang="ar-EG" sz="2400"/>
            <a:t> </a:t>
          </a:r>
          <a:endParaRPr lang="en-US" sz="2400"/>
        </a:p>
      </xdr:txBody>
    </xdr:sp>
    <xdr:clientData/>
  </xdr:twoCellAnchor>
  <xdr:twoCellAnchor>
    <xdr:from>
      <xdr:col>45</xdr:col>
      <xdr:colOff>105833</xdr:colOff>
      <xdr:row>4</xdr:row>
      <xdr:rowOff>84667</xdr:rowOff>
    </xdr:from>
    <xdr:to>
      <xdr:col>50</xdr:col>
      <xdr:colOff>296333</xdr:colOff>
      <xdr:row>6</xdr:row>
      <xdr:rowOff>105833</xdr:rowOff>
    </xdr:to>
    <xdr:sp macro="" textlink="'Pivot Tables'!E62">
      <xdr:nvSpPr>
        <xdr:cNvPr id="27" name="TextBox 26">
          <a:extLst>
            <a:ext uri="{FF2B5EF4-FFF2-40B4-BE49-F238E27FC236}">
              <a16:creationId xmlns:a16="http://schemas.microsoft.com/office/drawing/2014/main" id="{749ACF3C-A78F-1F60-2E9F-0F44C7F8A026}"/>
            </a:ext>
          </a:extLst>
        </xdr:cNvPr>
        <xdr:cNvSpPr txBox="1"/>
      </xdr:nvSpPr>
      <xdr:spPr>
        <a:xfrm>
          <a:off x="27728333" y="846667"/>
          <a:ext cx="3259667" cy="402166"/>
        </a:xfrm>
        <a:prstGeom prst="rect">
          <a:avLst/>
        </a:prstGeom>
        <a:solidFill>
          <a:srgbClr val="FF6500"/>
        </a:solidFill>
        <a:ln w="9525" cmpd="sng">
          <a:solidFill>
            <a:srgbClr val="FF65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1954D-0118-4DA7-AFE9-399E2C38D8C5}" type="TxLink">
            <a:rPr lang="en-US" sz="2400" b="1" i="0" u="none" strike="noStrike">
              <a:solidFill>
                <a:srgbClr val="000000"/>
              </a:solidFill>
              <a:latin typeface="Calibri"/>
              <a:cs typeface="Calibri"/>
            </a:rPr>
            <a:pPr algn="ctr"/>
            <a:t>100</a:t>
          </a:fld>
          <a:endParaRPr lang="en-US" sz="2400" b="1"/>
        </a:p>
      </xdr:txBody>
    </xdr:sp>
    <xdr:clientData/>
  </xdr:twoCellAnchor>
  <xdr:twoCellAnchor>
    <xdr:from>
      <xdr:col>6</xdr:col>
      <xdr:colOff>364067</xdr:colOff>
      <xdr:row>9</xdr:row>
      <xdr:rowOff>114299</xdr:rowOff>
    </xdr:from>
    <xdr:to>
      <xdr:col>16</xdr:col>
      <xdr:colOff>554567</xdr:colOff>
      <xdr:row>32</xdr:row>
      <xdr:rowOff>135766</xdr:rowOff>
    </xdr:to>
    <xdr:graphicFrame macro="">
      <xdr:nvGraphicFramePr>
        <xdr:cNvPr id="28" name="Chart 27">
          <a:extLst>
            <a:ext uri="{FF2B5EF4-FFF2-40B4-BE49-F238E27FC236}">
              <a16:creationId xmlns:a16="http://schemas.microsoft.com/office/drawing/2014/main" id="{DD4A0F04-5683-41F7-92E7-D62BEC972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42333</xdr:colOff>
      <xdr:row>9</xdr:row>
      <xdr:rowOff>114299</xdr:rowOff>
    </xdr:from>
    <xdr:to>
      <xdr:col>27</xdr:col>
      <xdr:colOff>513945</xdr:colOff>
      <xdr:row>32</xdr:row>
      <xdr:rowOff>135766</xdr:rowOff>
    </xdr:to>
    <xdr:graphicFrame macro="">
      <xdr:nvGraphicFramePr>
        <xdr:cNvPr id="29" name="Chart 28">
          <a:extLst>
            <a:ext uri="{FF2B5EF4-FFF2-40B4-BE49-F238E27FC236}">
              <a16:creationId xmlns:a16="http://schemas.microsoft.com/office/drawing/2014/main" id="{A396EA8F-362A-4F8E-95C7-84B1CE5C4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63499</xdr:colOff>
      <xdr:row>9</xdr:row>
      <xdr:rowOff>114299</xdr:rowOff>
    </xdr:from>
    <xdr:to>
      <xdr:col>38</xdr:col>
      <xdr:colOff>464634</xdr:colOff>
      <xdr:row>32</xdr:row>
      <xdr:rowOff>135766</xdr:rowOff>
    </xdr:to>
    <xdr:graphicFrame macro="">
      <xdr:nvGraphicFramePr>
        <xdr:cNvPr id="30" name="Chart 29">
          <a:extLst>
            <a:ext uri="{FF2B5EF4-FFF2-40B4-BE49-F238E27FC236}">
              <a16:creationId xmlns:a16="http://schemas.microsoft.com/office/drawing/2014/main" id="{01695315-13EE-4D62-9CE9-D72A1242C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42333</xdr:colOff>
      <xdr:row>9</xdr:row>
      <xdr:rowOff>114299</xdr:rowOff>
    </xdr:from>
    <xdr:to>
      <xdr:col>51</xdr:col>
      <xdr:colOff>254000</xdr:colOff>
      <xdr:row>32</xdr:row>
      <xdr:rowOff>135467</xdr:rowOff>
    </xdr:to>
    <xdr:graphicFrame macro="">
      <xdr:nvGraphicFramePr>
        <xdr:cNvPr id="31" name="Chart 30">
          <a:extLst>
            <a:ext uri="{FF2B5EF4-FFF2-40B4-BE49-F238E27FC236}">
              <a16:creationId xmlns:a16="http://schemas.microsoft.com/office/drawing/2014/main" id="{F876A1E1-D883-4C34-8525-0733292F9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338667</xdr:colOff>
      <xdr:row>33</xdr:row>
      <xdr:rowOff>169333</xdr:rowOff>
    </xdr:from>
    <xdr:to>
      <xdr:col>27</xdr:col>
      <xdr:colOff>338667</xdr:colOff>
      <xdr:row>61</xdr:row>
      <xdr:rowOff>105833</xdr:rowOff>
    </xdr:to>
    <xdr:graphicFrame macro="">
      <xdr:nvGraphicFramePr>
        <xdr:cNvPr id="32" name="Chart 31">
          <a:extLst>
            <a:ext uri="{FF2B5EF4-FFF2-40B4-BE49-F238E27FC236}">
              <a16:creationId xmlns:a16="http://schemas.microsoft.com/office/drawing/2014/main" id="{779DF1FF-B260-45BD-B796-0777F9A99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139701</xdr:colOff>
      <xdr:row>34</xdr:row>
      <xdr:rowOff>25400</xdr:rowOff>
    </xdr:from>
    <xdr:to>
      <xdr:col>50</xdr:col>
      <xdr:colOff>605367</xdr:colOff>
      <xdr:row>61</xdr:row>
      <xdr:rowOff>147800</xdr:rowOff>
    </xdr:to>
    <xdr:graphicFrame macro="">
      <xdr:nvGraphicFramePr>
        <xdr:cNvPr id="33" name="Chart 32">
          <a:extLst>
            <a:ext uri="{FF2B5EF4-FFF2-40B4-BE49-F238E27FC236}">
              <a16:creationId xmlns:a16="http://schemas.microsoft.com/office/drawing/2014/main" id="{A11A87F8-B041-4AB6-B2B7-4A6888008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599304</xdr:colOff>
      <xdr:row>54</xdr:row>
      <xdr:rowOff>150368</xdr:rowOff>
    </xdr:from>
    <xdr:to>
      <xdr:col>5</xdr:col>
      <xdr:colOff>35095</xdr:colOff>
      <xdr:row>61</xdr:row>
      <xdr:rowOff>168006</xdr:rowOff>
    </xdr:to>
    <xdr:pic>
      <xdr:nvPicPr>
        <xdr:cNvPr id="34" name="Picture 33">
          <a:hlinkClick xmlns:r="http://schemas.openxmlformats.org/officeDocument/2006/relationships" r:id="rId8"/>
          <a:extLst>
            <a:ext uri="{FF2B5EF4-FFF2-40B4-BE49-F238E27FC236}">
              <a16:creationId xmlns:a16="http://schemas.microsoft.com/office/drawing/2014/main" id="{5A9CDDD9-C06B-41F2-87A5-8050053A69B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04327" y="9719670"/>
          <a:ext cx="1243326" cy="1258103"/>
        </a:xfrm>
        <a:prstGeom prst="rect">
          <a:avLst/>
        </a:prstGeom>
      </xdr:spPr>
    </xdr:pic>
    <xdr:clientData/>
  </xdr:twoCellAnchor>
  <xdr:twoCellAnchor editAs="oneCell">
    <xdr:from>
      <xdr:col>0</xdr:col>
      <xdr:colOff>0</xdr:colOff>
      <xdr:row>8</xdr:row>
      <xdr:rowOff>35443</xdr:rowOff>
    </xdr:from>
    <xdr:to>
      <xdr:col>6</xdr:col>
      <xdr:colOff>362856</xdr:colOff>
      <xdr:row>33</xdr:row>
      <xdr:rowOff>141768</xdr:rowOff>
    </xdr:to>
    <mc:AlternateContent xmlns:mc="http://schemas.openxmlformats.org/markup-compatibility/2006" xmlns:a14="http://schemas.microsoft.com/office/drawing/2010/main">
      <mc:Choice Requires="a14">
        <xdr:graphicFrame macro="">
          <xdr:nvGraphicFramePr>
            <xdr:cNvPr id="4" name="الوظيفة 1">
              <a:extLst>
                <a:ext uri="{FF2B5EF4-FFF2-40B4-BE49-F238E27FC236}">
                  <a16:creationId xmlns:a16="http://schemas.microsoft.com/office/drawing/2014/main" id="{F2181CD1-DA61-402F-9A15-F1374855BFF3}"/>
                </a:ext>
              </a:extLst>
            </xdr:cNvPr>
            <xdr:cNvGraphicFramePr/>
          </xdr:nvGraphicFramePr>
          <xdr:xfrm>
            <a:off x="0" y="0"/>
            <a:ext cx="0" cy="0"/>
          </xdr:xfrm>
          <a:graphic>
            <a:graphicData uri="http://schemas.microsoft.com/office/drawing/2010/slicer">
              <sle:slicer xmlns:sle="http://schemas.microsoft.com/office/drawing/2010/slicer" name="الوظيفة 1"/>
            </a:graphicData>
          </a:graphic>
        </xdr:graphicFrame>
      </mc:Choice>
      <mc:Fallback xmlns="">
        <xdr:sp macro="" textlink="">
          <xdr:nvSpPr>
            <xdr:cNvPr id="0" name=""/>
            <xdr:cNvSpPr>
              <a:spLocks noTextEdit="1"/>
            </xdr:cNvSpPr>
          </xdr:nvSpPr>
          <xdr:spPr>
            <a:xfrm>
              <a:off x="0" y="1525576"/>
              <a:ext cx="4020456" cy="4762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123803</xdr:rowOff>
    </xdr:from>
    <xdr:to>
      <xdr:col>6</xdr:col>
      <xdr:colOff>175768</xdr:colOff>
      <xdr:row>45</xdr:row>
      <xdr:rowOff>159487</xdr:rowOff>
    </xdr:to>
    <mc:AlternateContent xmlns:mc="http://schemas.openxmlformats.org/markup-compatibility/2006" xmlns:a14="http://schemas.microsoft.com/office/drawing/2010/main">
      <mc:Choice Requires="a14">
        <xdr:graphicFrame macro="">
          <xdr:nvGraphicFramePr>
            <xdr:cNvPr id="5" name="القسم">
              <a:extLst>
                <a:ext uri="{FF2B5EF4-FFF2-40B4-BE49-F238E27FC236}">
                  <a16:creationId xmlns:a16="http://schemas.microsoft.com/office/drawing/2014/main" id="{EE53A03B-3BFB-492F-9A82-FF01703CC536}"/>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0" y="6100275"/>
              <a:ext cx="3873709" cy="221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52684</xdr:rowOff>
    </xdr:from>
    <xdr:to>
      <xdr:col>6</xdr:col>
      <xdr:colOff>175768</xdr:colOff>
      <xdr:row>53</xdr:row>
      <xdr:rowOff>159489</xdr:rowOff>
    </xdr:to>
    <mc:AlternateContent xmlns:mc="http://schemas.openxmlformats.org/markup-compatibility/2006" xmlns:a14="http://schemas.microsoft.com/office/drawing/2010/main">
      <mc:Choice Requires="a14">
        <xdr:graphicFrame macro="">
          <xdr:nvGraphicFramePr>
            <xdr:cNvPr id="6" name="الموقع 1">
              <a:extLst>
                <a:ext uri="{FF2B5EF4-FFF2-40B4-BE49-F238E27FC236}">
                  <a16:creationId xmlns:a16="http://schemas.microsoft.com/office/drawing/2014/main" id="{BF0E2B95-D356-4914-8571-5EFAD4487E18}"/>
                </a:ext>
              </a:extLst>
            </xdr:cNvPr>
            <xdr:cNvGraphicFramePr/>
          </xdr:nvGraphicFramePr>
          <xdr:xfrm>
            <a:off x="0" y="0"/>
            <a:ext cx="0" cy="0"/>
          </xdr:xfrm>
          <a:graphic>
            <a:graphicData uri="http://schemas.microsoft.com/office/drawing/2010/slicer">
              <sle:slicer xmlns:sle="http://schemas.microsoft.com/office/drawing/2010/slicer" name="الموقع 1"/>
            </a:graphicData>
          </a:graphic>
        </xdr:graphicFrame>
      </mc:Choice>
      <mc:Fallback xmlns="">
        <xdr:sp macro="" textlink="">
          <xdr:nvSpPr>
            <xdr:cNvPr id="0" name=""/>
            <xdr:cNvSpPr>
              <a:spLocks noTextEdit="1"/>
            </xdr:cNvSpPr>
          </xdr:nvSpPr>
          <xdr:spPr>
            <a:xfrm>
              <a:off x="0" y="8434684"/>
              <a:ext cx="3833368" cy="1596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230372</xdr:colOff>
      <xdr:row>54</xdr:row>
      <xdr:rowOff>141767</xdr:rowOff>
    </xdr:from>
    <xdr:to>
      <xdr:col>2</xdr:col>
      <xdr:colOff>225923</xdr:colOff>
      <xdr:row>61</xdr:row>
      <xdr:rowOff>160728</xdr:rowOff>
    </xdr:to>
    <xdr:pic>
      <xdr:nvPicPr>
        <xdr:cNvPr id="7" name="Picture 6">
          <a:hlinkClick xmlns:r="http://schemas.openxmlformats.org/officeDocument/2006/relationships" r:id="rId10"/>
          <a:extLst>
            <a:ext uri="{FF2B5EF4-FFF2-40B4-BE49-F238E27FC236}">
              <a16:creationId xmlns:a16="http://schemas.microsoft.com/office/drawing/2014/main" id="{8C38488D-A4BA-4955-B286-9F9CA46BFF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0372" y="9711069"/>
          <a:ext cx="1200574" cy="1259426"/>
        </a:xfrm>
        <a:prstGeom prst="rect">
          <a:avLst/>
        </a:prstGeom>
      </xdr:spPr>
    </xdr:pic>
    <xdr:clientData/>
  </xdr:twoCellAnchor>
</xdr:wsDr>
</file>

<file path=xl/drawings/drawing10.xml><?xml version="1.0" encoding="utf-8"?>
<c:userShapes xmlns:c="http://schemas.openxmlformats.org/drawingml/2006/chart">
  <cdr:relSizeAnchor xmlns:cdr="http://schemas.openxmlformats.org/drawingml/2006/chartDrawing">
    <cdr:from>
      <cdr:x>0.10236</cdr:x>
      <cdr:y>0</cdr:y>
    </cdr:from>
    <cdr:to>
      <cdr:x>0.20608</cdr:x>
      <cdr:y>0.17296</cdr:y>
    </cdr:to>
    <cdr:pic>
      <cdr:nvPicPr>
        <cdr:cNvPr id="2" name="Picture 1">
          <a:extLst xmlns:a="http://schemas.openxmlformats.org/drawingml/2006/main">
            <a:ext uri="{FF2B5EF4-FFF2-40B4-BE49-F238E27FC236}">
              <a16:creationId xmlns:a16="http://schemas.microsoft.com/office/drawing/2014/main" id="{9C7044C2-BDC2-1DB0-CC51-F0418421FB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643467" y="0"/>
          <a:ext cx="652049" cy="604788"/>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0.23188</cdr:x>
      <cdr:y>0</cdr:y>
    </cdr:from>
    <cdr:to>
      <cdr:x>0.29522</cdr:x>
      <cdr:y>0.13996</cdr:y>
    </cdr:to>
    <cdr:pic>
      <cdr:nvPicPr>
        <cdr:cNvPr id="3" name="Picture 2">
          <a:extLst xmlns:a="http://schemas.openxmlformats.org/drawingml/2006/main">
            <a:ext uri="{FF2B5EF4-FFF2-40B4-BE49-F238E27FC236}">
              <a16:creationId xmlns:a16="http://schemas.microsoft.com/office/drawing/2014/main" id="{B54DD8D1-82FE-3F3C-4A0D-F11A427B2E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522896" y="0"/>
          <a:ext cx="415970" cy="478366"/>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0.22316</cdr:x>
      <cdr:y>0</cdr:y>
    </cdr:from>
    <cdr:to>
      <cdr:x>0.29874</cdr:x>
      <cdr:y>0.1242</cdr:y>
    </cdr:to>
    <cdr:pic>
      <cdr:nvPicPr>
        <cdr:cNvPr id="2" name="Picture 1">
          <a:extLst xmlns:a="http://schemas.openxmlformats.org/drawingml/2006/main">
            <a:ext uri="{FF2B5EF4-FFF2-40B4-BE49-F238E27FC236}">
              <a16:creationId xmlns:a16="http://schemas.microsoft.com/office/drawing/2014/main" id="{C7F57192-1C54-FF38-952A-9DE708BA33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449879" y="0"/>
          <a:ext cx="491076" cy="491066"/>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0.10799</cdr:x>
      <cdr:y>0</cdr:y>
    </cdr:from>
    <cdr:to>
      <cdr:x>0.18509</cdr:x>
      <cdr:y>0.11898</cdr:y>
    </cdr:to>
    <cdr:pic>
      <cdr:nvPicPr>
        <cdr:cNvPr id="3" name="Picture 2">
          <a:extLst xmlns:a="http://schemas.openxmlformats.org/drawingml/2006/main">
            <a:ext uri="{FF2B5EF4-FFF2-40B4-BE49-F238E27FC236}">
              <a16:creationId xmlns:a16="http://schemas.microsoft.com/office/drawing/2014/main" id="{557A3D3F-D7DE-F1F1-04F9-6E7FFDAD83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812801" y="0"/>
          <a:ext cx="580312" cy="512235"/>
        </a:xfrm>
        <a:prstGeom xmlns:a="http://schemas.openxmlformats.org/drawingml/2006/main" prst="rect">
          <a:avLst/>
        </a:prstGeom>
      </cdr:spPr>
    </cdr:pic>
  </cdr:relSizeAnchor>
</c:userShapes>
</file>

<file path=xl/drawings/drawing14.xml><?xml version="1.0" encoding="utf-8"?>
<c:userShapes xmlns:c="http://schemas.openxmlformats.org/drawingml/2006/chart">
  <cdr:relSizeAnchor xmlns:cdr="http://schemas.openxmlformats.org/drawingml/2006/chartDrawing">
    <cdr:from>
      <cdr:x>0.32887</cdr:x>
      <cdr:y>0</cdr:y>
    </cdr:from>
    <cdr:to>
      <cdr:x>0.36987</cdr:x>
      <cdr:y>0.10189</cdr:y>
    </cdr:to>
    <cdr:pic>
      <cdr:nvPicPr>
        <cdr:cNvPr id="2" name="Picture 1">
          <a:extLst xmlns:a="http://schemas.openxmlformats.org/drawingml/2006/main">
            <a:ext uri="{FF2B5EF4-FFF2-40B4-BE49-F238E27FC236}">
              <a16:creationId xmlns:a16="http://schemas.microsoft.com/office/drawing/2014/main" id="{A775BD8F-EED9-9881-34D9-DC7F62ADAB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210006" y="0"/>
          <a:ext cx="524875" cy="524934"/>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0.32825</cdr:x>
      <cdr:y>0</cdr:y>
    </cdr:from>
    <cdr:to>
      <cdr:x>0.3659</cdr:x>
      <cdr:y>0.09522</cdr:y>
    </cdr:to>
    <cdr:pic>
      <cdr:nvPicPr>
        <cdr:cNvPr id="2" name="Picture 1">
          <a:extLst xmlns:a="http://schemas.openxmlformats.org/drawingml/2006/main">
            <a:ext uri="{FF2B5EF4-FFF2-40B4-BE49-F238E27FC236}">
              <a16:creationId xmlns:a16="http://schemas.microsoft.com/office/drawing/2014/main" id="{6A7F99FF-1D6D-EA14-3801-7241EC8376D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555067" y="0"/>
          <a:ext cx="522518" cy="48483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anoub Magdy" refreshedDate="45720.512027546298" createdVersion="8" refreshedVersion="8" minRefreshableVersion="3" recordCount="100" xr:uid="{8C7900DF-EC5E-4BD6-A8F4-14E55E0EF7D1}">
  <cacheSource type="worksheet">
    <worksheetSource name="All"/>
  </cacheSource>
  <cacheFields count="21">
    <cacheField name="المسلسل" numFmtId="0">
      <sharedItems/>
    </cacheField>
    <cacheField name="الرقم الوظيفي" numFmtId="0">
      <sharedItems/>
    </cacheField>
    <cacheField name="اسم الموظف" numFmtId="0">
      <sharedItems/>
    </cacheField>
    <cacheField name="الوظيفة" numFmtId="0">
      <sharedItems count="13">
        <s v="Sales rep."/>
        <s v="Accountant"/>
        <s v="Recruitment Specialsit"/>
        <s v="HR Coordinator"/>
        <s v="Products Marketing Coordinator"/>
        <s v="Software developer"/>
        <s v="Marketing Manager"/>
        <s v="HR Specialist"/>
        <s v="IT Manager"/>
        <s v="HR Manager"/>
        <s v="Digital marketing specialist"/>
        <s v="Financial Manager"/>
        <s v="Sales Manager"/>
      </sharedItems>
    </cacheField>
    <cacheField name="القسم" numFmtId="0">
      <sharedItems count="6">
        <s v="Sales"/>
        <s v="Finance"/>
        <s v="HR"/>
        <s v="Marketing"/>
        <s v="IT"/>
        <s v="Marketing " u="1"/>
      </sharedItems>
    </cacheField>
    <cacheField name="الموقع" numFmtId="0">
      <sharedItems count="3">
        <s v="الاسكندرية"/>
        <s v="طنطا"/>
        <s v="القاهرة"/>
      </sharedItems>
    </cacheField>
    <cacheField name="تاريخ التعيين" numFmtId="14">
      <sharedItems containsSemiMixedTypes="0" containsNonDate="0" containsDate="1" containsString="0" minDate="1995-11-26T00:00:00" maxDate="2018-12-30T00:00:00" count="81">
        <d v="2010-07-03T00:00:00"/>
        <d v="2011-11-03T00:00:00"/>
        <d v="2016-02-03T00:00:00"/>
        <d v="2003-12-20T00:00:00"/>
        <d v="2005-02-20T00:00:00"/>
        <d v="2015-04-11T00:00:00"/>
        <d v="2018-12-29T00:00:00"/>
        <d v="2015-03-21T00:00:00"/>
        <d v="2012-02-13T00:00:00"/>
        <d v="2018-01-21T00:00:00"/>
        <d v="2016-04-23T00:00:00"/>
        <d v="2014-04-20T00:00:00"/>
        <d v="2012-01-11T00:00:00"/>
        <d v="2003-07-15T00:00:00"/>
        <d v="2014-12-04T00:00:00"/>
        <d v="2013-08-12T00:00:00"/>
        <d v="2006-11-15T00:00:00"/>
        <d v="2016-04-30T00:00:00"/>
        <d v="2014-05-12T00:00:00"/>
        <d v="2016-04-17T00:00:00"/>
        <d v="2016-08-15T00:00:00"/>
        <d v="2005-02-15T00:00:00"/>
        <d v="2015-02-18T00:00:00"/>
        <d v="2015-02-01T00:00:00"/>
        <d v="2001-01-13T00:00:00"/>
        <d v="2014-11-08T00:00:00"/>
        <d v="2001-08-28T00:00:00"/>
        <d v="2016-02-17T00:00:00"/>
        <d v="2016-04-02T00:00:00"/>
        <d v="2013-04-14T00:00:00"/>
        <d v="2014-04-19T00:00:00"/>
        <d v="2014-04-01T00:00:00"/>
        <d v="2016-08-16T00:00:00"/>
        <d v="2007-03-03T00:00:00"/>
        <d v="1995-11-26T00:00:00"/>
        <d v="2008-11-15T00:00:00"/>
        <d v="2016-04-16T00:00:00"/>
        <d v="2008-06-01T00:00:00"/>
        <d v="1998-03-14T00:00:00"/>
        <d v="2011-07-02T00:00:00"/>
        <d v="2017-12-02T00:00:00"/>
        <d v="2008-07-12T00:00:00"/>
        <d v="2002-07-23T00:00:00"/>
        <d v="2006-04-09T00:00:00"/>
        <d v="2010-04-24T00:00:00"/>
        <d v="2016-05-25T00:00:00"/>
        <d v="2014-09-23T00:00:00"/>
        <d v="2016-04-09T00:00:00"/>
        <d v="1998-03-01T00:00:00"/>
        <d v="2017-04-08T00:00:00"/>
        <d v="1998-06-20T00:00:00"/>
        <d v="2014-10-11T00:00:00"/>
        <d v="2016-07-25T00:00:00"/>
        <d v="2013-11-16T00:00:00"/>
        <d v="2013-08-13T00:00:00"/>
        <d v="2002-01-26T00:00:00"/>
        <d v="2015-11-18T00:00:00"/>
        <d v="2007-01-20T00:00:00"/>
        <d v="2006-08-01T00:00:00"/>
        <d v="2012-10-09T00:00:00"/>
        <d v="2011-05-17T00:00:00"/>
        <d v="2000-08-03T00:00:00"/>
        <d v="1999-06-01T00:00:00"/>
        <d v="2013-09-10T00:00:00"/>
        <d v="2008-08-11T00:00:00"/>
        <d v="2008-08-09T00:00:00"/>
        <d v="2010-01-02T00:00:00"/>
        <d v="2003-02-24T00:00:00"/>
        <d v="2001-08-15T00:00:00"/>
        <d v="2007-08-04T00:00:00"/>
        <d v="2003-05-17T00:00:00"/>
        <d v="2001-08-18T00:00:00"/>
        <d v="2000-01-19T00:00:00"/>
        <d v="2018-12-10T00:00:00"/>
        <d v="2014-05-24T00:00:00"/>
        <d v="2011-05-25T00:00:00"/>
        <d v="1996-06-01T00:00:00"/>
        <d v="2016-05-01T00:00:00"/>
        <d v="1996-11-20T00:00:00"/>
        <d v="2008-10-04T00:00:00"/>
        <d v="2004-05-08T00:00:00"/>
      </sharedItems>
      <fieldGroup par="20"/>
    </cacheField>
    <cacheField name="عدد سنين الخبرة" numFmtId="1">
      <sharedItems containsSemiMixedTypes="0" containsString="0" containsNumber="1" containsInteger="1" minValue="6" maxValue="29" count="24">
        <n v="15"/>
        <n v="13"/>
        <n v="9"/>
        <n v="21"/>
        <n v="20"/>
        <n v="10"/>
        <n v="6"/>
        <n v="7"/>
        <n v="11"/>
        <n v="22"/>
        <n v="12"/>
        <n v="18"/>
        <n v="24"/>
        <n v="29"/>
        <n v="16"/>
        <n v="17"/>
        <n v="27"/>
        <n v="14"/>
        <n v="23"/>
        <n v="19"/>
        <n v="8"/>
        <n v="25"/>
        <n v="26"/>
        <n v="28"/>
      </sharedItems>
      <fieldGroup base="7">
        <rangePr startNum="6" endNum="29" groupInterval="5"/>
        <groupItems count="7">
          <s v="&lt;6"/>
          <s v="6-10"/>
          <s v="11-15"/>
          <s v="16-20"/>
          <s v="21-25"/>
          <s v="26-30"/>
          <s v="&gt;31"/>
        </groupItems>
      </fieldGroup>
    </cacheField>
    <cacheField name="تاريخ الميلاد" numFmtId="14">
      <sharedItems containsSemiMixedTypes="0" containsNonDate="0" containsDate="1" containsString="0" minDate="1959-05-25T00:00:00" maxDate="1989-08-24T00:00:00"/>
    </cacheField>
    <cacheField name="العمر" numFmtId="0">
      <sharedItems containsSemiMixedTypes="0" containsString="0" containsNumber="1" containsInteger="1" minValue="36" maxValue="66" count="24">
        <n v="55"/>
        <n v="47"/>
        <n v="42"/>
        <n v="57"/>
        <n v="52"/>
        <n v="41"/>
        <n v="51"/>
        <n v="54"/>
        <n v="45"/>
        <n v="60"/>
        <n v="44"/>
        <n v="43"/>
        <n v="61"/>
        <n v="40"/>
        <n v="53"/>
        <n v="62"/>
        <n v="50"/>
        <n v="56"/>
        <n v="46"/>
        <n v="66"/>
        <n v="59"/>
        <n v="48"/>
        <n v="49"/>
        <n v="36"/>
      </sharedItems>
      <fieldGroup base="9">
        <rangePr startNum="36" endNum="66" groupInterval="5"/>
        <groupItems count="8">
          <s v="&lt;36"/>
          <s v="36-40"/>
          <s v="41-45"/>
          <s v="46-50"/>
          <s v="51-55"/>
          <s v="56-60"/>
          <s v="61-66"/>
          <s v="&gt;66"/>
        </groupItems>
      </fieldGroup>
    </cacheField>
    <cacheField name="المؤهل الدراسي" numFmtId="0">
      <sharedItems count="3">
        <s v="دبلوم"/>
        <s v="بكالوريوس"/>
        <s v="ماجستير"/>
      </sharedItems>
    </cacheField>
    <cacheField name="الراتب" numFmtId="167">
      <sharedItems containsSemiMixedTypes="0" containsString="0" containsNumber="1" containsInteger="1" minValue="1428" maxValue="35000"/>
    </cacheField>
    <cacheField name="الاداء في 2024" numFmtId="9">
      <sharedItems containsSemiMixedTypes="0" containsString="0" containsNumber="1" minValue="0.75" maxValue="0.89"/>
    </cacheField>
    <cacheField name="الاداء في 2025" numFmtId="9">
      <sharedItems containsSemiMixedTypes="0" containsString="0" containsNumber="1" minValue="0.4" maxValue="0.97"/>
    </cacheField>
    <cacheField name="متوسط الاداء الكلي" numFmtId="166">
      <sharedItems containsSemiMixedTypes="0" containsString="0" containsNumber="1" minValue="0.59" maxValue="0.92"/>
    </cacheField>
    <cacheField name="التغير في اداء الموظف" numFmtId="9">
      <sharedItems containsSemiMixedTypes="0" containsString="0" containsNumber="1" minValue="-0.21" maxValue="0.48"/>
    </cacheField>
    <cacheField name="الاسم - الرقم الوظيفي" numFmtId="0">
      <sharedItems count="94">
        <s v="30377-هدي محمد"/>
        <s v="27858-أحمد سمير"/>
        <s v="27780-محمد علاء"/>
        <s v="26442-ندي إبراهيم"/>
        <s v="25908-عبد الرحمن محمد"/>
        <s v="27141-منه أحمد"/>
        <s v="26404-نور يحيي"/>
        <s v="26400-كامل عصام"/>
        <s v="26991-محمد أحمد"/>
        <s v="27003-نغم محمد"/>
        <s v="30352-مي محمد ابراهيم"/>
        <s v="25905-اسراء عصام"/>
        <s v="28127-سارة احمد محمد"/>
        <s v="26427-مارك يوسف"/>
        <s v="27393-أحمد فريد"/>
        <s v="26446-محمد علاء"/>
        <s v="26434-أحمد حسن"/>
        <s v="26726-محمد راضي"/>
        <s v="25906-يوسف أحمد"/>
        <s v="26748-هند بهاء"/>
        <s v="26401-خالد محمد"/>
        <s v="27092-فادي نور"/>
        <s v="26422-ندي إبراهيم"/>
        <s v="30351-نورهان أحمد"/>
        <s v="26441-منه محمود"/>
        <s v="27618-أحمد حسن"/>
        <s v="31455-خالد محمد"/>
        <s v="26430-محمد راضي"/>
        <s v="26435-نسمة كامل"/>
        <s v="26410-تغريد يحيي"/>
        <s v="27385-حسن أحمد"/>
        <s v="26421-نورهان أحمد"/>
        <s v="27143-يوسف أحمد"/>
        <s v="28927-منه أحمد"/>
        <s v="30349-منه أحمد"/>
        <s v="26413-تامر خالد"/>
        <s v="26429-نور يحيي"/>
        <s v="26412-كامل عصام"/>
        <s v="28166-الاء أحمد"/>
        <s v="27621-الاء أحمد"/>
        <s v="28227-يوسف أحمد"/>
        <s v="31456-منه محمود"/>
        <s v="26444-مهاب أسامة"/>
        <s v="27650-حازم أحمد"/>
        <s v="26389-مؤمن محمد"/>
        <s v="26443-حازم أحمد"/>
        <s v="26415-نسمة كامل"/>
        <s v="27009-يحيي هادي"/>
        <s v="26414-عبد الرحمن محمد"/>
        <s v="26999-أحمد سمير"/>
        <s v="26439-أحمد فريد"/>
        <s v="26448-هند بهاء"/>
        <s v="26440-محمد أحمد"/>
        <s v="26994-هدي محمد"/>
        <s v="26431-مروة محمد عبدالله"/>
        <s v="26998-أشرف أحمد"/>
        <s v="26438-نورهان أحمد"/>
        <s v="26347-هند بهاء"/>
        <s v="26419-منه محمود"/>
        <s v="29769-علي محمد"/>
        <s v="26399-نسمة كامل"/>
        <s v="27960-يحيي هادي"/>
        <s v="29369-أشرف أحمد"/>
        <s v="30350-ندي إبراهيم"/>
        <s v="27144-تامر خالد"/>
        <s v="29368-حسين ياسر"/>
        <s v="26437-مارك يوسف"/>
        <s v="28126-عبد الرحمن محمد"/>
        <s v="26425-أحمد فريد"/>
        <s v="27494-محمد راضي"/>
        <s v="30460-نغم محمد"/>
        <s v="27375-أحمد سمير"/>
        <s v="25907-علي محمد"/>
        <s v="31457-محمد علاء"/>
        <s v="26396-هالة عبد العال"/>
        <s v="26445-الاء أحمد"/>
        <s v="26447-حازم أحمد"/>
        <s v="27150-هالة عبد العال"/>
        <s v="26402-اسراء عصام"/>
        <s v="26424-خالد محمد"/>
        <s v="26428-تغريد يحيي"/>
        <s v="26610-فادي نور"/>
        <s v="27008-ايمان علي سلامة"/>
        <s v="27154-مهاب أسامة"/>
        <s v="27007-أشرف أحمد"/>
        <s v="30459-حسين ياسر"/>
        <s v="28929-مهاب أسامة"/>
        <s v="27142-تامر خالد"/>
        <s v="27004-كامل عصام"/>
        <s v="26433-أحمد حسن"/>
        <s v="27374-مؤمن محمد"/>
        <s v="27649-هدي محمد"/>
        <s v="26417-حسن أحمد"/>
        <s v="27648-علي محمد"/>
      </sharedItems>
    </cacheField>
    <cacheField name="Field1" numFmtId="0" formula="('الاداء في 2024'+'الاداء في 2025')/2" databaseField="0"/>
    <cacheField name="Months (تاريخ التعيين)" numFmtId="0" databaseField="0">
      <fieldGroup base="6">
        <rangePr groupBy="months" startDate="1995-11-26T00:00:00" endDate="2018-12-30T00:00:00"/>
        <groupItems count="14">
          <s v="&lt;11/26/1995"/>
          <s v="Jan"/>
          <s v="Feb"/>
          <s v="Mar"/>
          <s v="Apr"/>
          <s v="May"/>
          <s v="Jun"/>
          <s v="Jul"/>
          <s v="Aug"/>
          <s v="Sep"/>
          <s v="Oct"/>
          <s v="Nov"/>
          <s v="Dec"/>
          <s v="&gt;12/30/2018"/>
        </groupItems>
      </fieldGroup>
    </cacheField>
    <cacheField name="Quarters (تاريخ التعيين)" numFmtId="0" databaseField="0">
      <fieldGroup base="6">
        <rangePr groupBy="quarters" startDate="1995-11-26T00:00:00" endDate="2018-12-30T00:00:00"/>
        <groupItems count="6">
          <s v="&lt;11/26/1995"/>
          <s v="Qtr1"/>
          <s v="Qtr2"/>
          <s v="Qtr3"/>
          <s v="Qtr4"/>
          <s v="&gt;12/30/2018"/>
        </groupItems>
      </fieldGroup>
    </cacheField>
    <cacheField name="Years (تاريخ التعيين)" numFmtId="0" databaseField="0">
      <fieldGroup base="6">
        <rangePr groupBy="years" startDate="1995-11-26T00:00:00" endDate="2018-12-30T00:00:00"/>
        <groupItems count="26">
          <s v="&lt;11/26/1995"/>
          <s v="1995"/>
          <s v="1996"/>
          <s v="1997"/>
          <s v="1998"/>
          <s v="1999"/>
          <s v="2000"/>
          <s v="2001"/>
          <s v="2002"/>
          <s v="2003"/>
          <s v="2004"/>
          <s v="2005"/>
          <s v="2006"/>
          <s v="2007"/>
          <s v="2008"/>
          <s v="2009"/>
          <s v="2010"/>
          <s v="2011"/>
          <s v="2012"/>
          <s v="2013"/>
          <s v="2014"/>
          <s v="2015"/>
          <s v="2016"/>
          <s v="2017"/>
          <s v="2018"/>
          <s v="&gt;12/30/2018"/>
        </groupItems>
      </fieldGroup>
    </cacheField>
  </cacheFields>
  <extLst>
    <ext xmlns:x14="http://schemas.microsoft.com/office/spreadsheetml/2009/9/main" uri="{725AE2AE-9491-48be-B2B4-4EB974FC3084}">
      <x14:pivotCacheDefinition pivotCacheId="1534583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10"/>
    <s v="30377"/>
    <s v="هدي محمد"/>
    <x v="0"/>
    <x v="0"/>
    <x v="0"/>
    <x v="0"/>
    <x v="0"/>
    <d v="1969-12-13T00:00:00"/>
    <x v="0"/>
    <x v="0"/>
    <n v="17456"/>
    <n v="0.87"/>
    <n v="0.97"/>
    <n v="0.92"/>
    <n v="-0.1"/>
    <x v="0"/>
  </r>
  <r>
    <s v="42"/>
    <s v="27858"/>
    <s v="أحمد سمير"/>
    <x v="0"/>
    <x v="0"/>
    <x v="0"/>
    <x v="1"/>
    <x v="1"/>
    <d v="1978-05-11T00:00:00"/>
    <x v="1"/>
    <x v="0"/>
    <n v="1428"/>
    <n v="0.87"/>
    <n v="0.96"/>
    <n v="0.91500000000000004"/>
    <n v="-0.09"/>
    <x v="1"/>
  </r>
  <r>
    <s v="74"/>
    <s v="27780"/>
    <s v="محمد علاء"/>
    <x v="1"/>
    <x v="1"/>
    <x v="1"/>
    <x v="2"/>
    <x v="2"/>
    <d v="1983-05-09T00:00:00"/>
    <x v="2"/>
    <x v="1"/>
    <n v="13891"/>
    <n v="0.86"/>
    <n v="0.97"/>
    <n v="0.91500000000000004"/>
    <n v="-0.11"/>
    <x v="2"/>
  </r>
  <r>
    <s v="84"/>
    <s v="26442"/>
    <s v="ندي إبراهيم"/>
    <x v="2"/>
    <x v="2"/>
    <x v="2"/>
    <x v="3"/>
    <x v="3"/>
    <d v="1968-05-11T00:00:00"/>
    <x v="3"/>
    <x v="1"/>
    <n v="1860"/>
    <n v="0.89"/>
    <n v="0.94"/>
    <n v="0.91500000000000004"/>
    <n v="-4.9999999999999899E-2"/>
    <x v="3"/>
  </r>
  <r>
    <s v="85"/>
    <s v="25908"/>
    <s v="عبد الرحمن محمد"/>
    <x v="3"/>
    <x v="2"/>
    <x v="2"/>
    <x v="4"/>
    <x v="4"/>
    <d v="1972-11-15T00:00:00"/>
    <x v="4"/>
    <x v="1"/>
    <n v="8730"/>
    <n v="0.88"/>
    <n v="0.95"/>
    <n v="0.91500000000000004"/>
    <n v="-7.0000000000000007E-2"/>
    <x v="4"/>
  </r>
  <r>
    <s v="22"/>
    <s v="27141"/>
    <s v="منه أحمد"/>
    <x v="0"/>
    <x v="0"/>
    <x v="2"/>
    <x v="5"/>
    <x v="5"/>
    <d v="1984-05-06T00:00:00"/>
    <x v="5"/>
    <x v="0"/>
    <n v="15173"/>
    <n v="0.85"/>
    <n v="0.96"/>
    <n v="0.90500000000000003"/>
    <n v="-0.11"/>
    <x v="5"/>
  </r>
  <r>
    <s v="64"/>
    <s v="26404"/>
    <s v="نور يحيي"/>
    <x v="4"/>
    <x v="3"/>
    <x v="2"/>
    <x v="6"/>
    <x v="6"/>
    <d v="1974-05-18T00:00:00"/>
    <x v="6"/>
    <x v="1"/>
    <n v="15454"/>
    <n v="0.87"/>
    <n v="0.94"/>
    <n v="0.90500000000000003"/>
    <n v="-7.0000000000000007E-2"/>
    <x v="6"/>
  </r>
  <r>
    <s v="45"/>
    <s v="26400"/>
    <s v="كامل عصام"/>
    <x v="4"/>
    <x v="3"/>
    <x v="2"/>
    <x v="7"/>
    <x v="5"/>
    <d v="1970-10-15T00:00:00"/>
    <x v="7"/>
    <x v="1"/>
    <n v="5067"/>
    <n v="0.86"/>
    <n v="0.94"/>
    <n v="0.9"/>
    <n v="-0.08"/>
    <x v="7"/>
  </r>
  <r>
    <s v="72"/>
    <s v="26991"/>
    <s v="محمد أحمد"/>
    <x v="0"/>
    <x v="0"/>
    <x v="2"/>
    <x v="8"/>
    <x v="1"/>
    <d v="1980-02-05T00:00:00"/>
    <x v="8"/>
    <x v="0"/>
    <n v="18091"/>
    <n v="0.84"/>
    <n v="0.91"/>
    <n v="0.875"/>
    <n v="-7.0000000000000104E-2"/>
    <x v="8"/>
  </r>
  <r>
    <s v="37"/>
    <s v="27003"/>
    <s v="نغم محمد"/>
    <x v="0"/>
    <x v="0"/>
    <x v="2"/>
    <x v="9"/>
    <x v="7"/>
    <d v="1980-02-05T00:00:00"/>
    <x v="8"/>
    <x v="0"/>
    <n v="23467"/>
    <n v="0.79"/>
    <n v="0.95"/>
    <n v="0.87"/>
    <n v="-0.16"/>
    <x v="9"/>
  </r>
  <r>
    <s v="24"/>
    <s v="30352"/>
    <s v="مي محمد ابراهيم"/>
    <x v="4"/>
    <x v="3"/>
    <x v="2"/>
    <x v="10"/>
    <x v="2"/>
    <d v="1970-12-22T00:00:00"/>
    <x v="7"/>
    <x v="1"/>
    <n v="16742"/>
    <n v="0.87"/>
    <n v="0.87"/>
    <n v="0.87"/>
    <n v="0"/>
    <x v="10"/>
  </r>
  <r>
    <s v="30"/>
    <s v="25905"/>
    <s v="اسراء عصام"/>
    <x v="5"/>
    <x v="4"/>
    <x v="2"/>
    <x v="11"/>
    <x v="8"/>
    <d v="1964-11-07T00:00:00"/>
    <x v="9"/>
    <x v="1"/>
    <n v="5578"/>
    <n v="0.76"/>
    <n v="0.97"/>
    <n v="0.86499999999999999"/>
    <n v="-0.21"/>
    <x v="11"/>
  </r>
  <r>
    <s v="30"/>
    <s v="25905"/>
    <s v="اسراء عصام"/>
    <x v="5"/>
    <x v="4"/>
    <x v="2"/>
    <x v="11"/>
    <x v="8"/>
    <d v="1964-11-07T00:00:00"/>
    <x v="9"/>
    <x v="1"/>
    <n v="5578"/>
    <n v="0.76"/>
    <n v="0.97"/>
    <n v="0.86499999999999999"/>
    <n v="-0.21"/>
    <x v="11"/>
  </r>
  <r>
    <s v="2"/>
    <s v="28127"/>
    <s v="سارة احمد محمد"/>
    <x v="6"/>
    <x v="3"/>
    <x v="0"/>
    <x v="12"/>
    <x v="1"/>
    <d v="1965-09-04T00:00:00"/>
    <x v="9"/>
    <x v="2"/>
    <n v="21575"/>
    <n v="0.86"/>
    <n v="0.87"/>
    <n v="0.86499999999999999"/>
    <n v="-0.01"/>
    <x v="12"/>
  </r>
  <r>
    <s v="66"/>
    <s v="26427"/>
    <s v="مارك يوسف"/>
    <x v="4"/>
    <x v="3"/>
    <x v="0"/>
    <x v="13"/>
    <x v="9"/>
    <d v="1964-11-27T00:00:00"/>
    <x v="9"/>
    <x v="1"/>
    <n v="15992"/>
    <n v="0.82"/>
    <n v="0.91"/>
    <n v="0.86499999999999999"/>
    <n v="-9.0000000000000094E-2"/>
    <x v="13"/>
  </r>
  <r>
    <s v="55"/>
    <s v="27393"/>
    <s v="أحمد فريد"/>
    <x v="7"/>
    <x v="2"/>
    <x v="2"/>
    <x v="14"/>
    <x v="5"/>
    <d v="1980-11-02T00:00:00"/>
    <x v="10"/>
    <x v="1"/>
    <n v="3453"/>
    <n v="0.87"/>
    <n v="0.83"/>
    <n v="0.85"/>
    <n v="0.04"/>
    <x v="14"/>
  </r>
  <r>
    <s v="3"/>
    <s v="26446"/>
    <s v="محمد علاء"/>
    <x v="8"/>
    <x v="4"/>
    <x v="1"/>
    <x v="15"/>
    <x v="10"/>
    <d v="1982-02-08T00:00:00"/>
    <x v="11"/>
    <x v="2"/>
    <n v="25000"/>
    <n v="0.8"/>
    <n v="0.9"/>
    <n v="0.85"/>
    <n v="-0.1"/>
    <x v="15"/>
  </r>
  <r>
    <s v="3"/>
    <s v="26446"/>
    <s v="محمد علاء"/>
    <x v="8"/>
    <x v="4"/>
    <x v="1"/>
    <x v="15"/>
    <x v="10"/>
    <d v="1982-02-08T00:00:00"/>
    <x v="11"/>
    <x v="2"/>
    <n v="25000"/>
    <n v="0.8"/>
    <n v="0.9"/>
    <n v="0.85"/>
    <n v="-0.1"/>
    <x v="15"/>
  </r>
  <r>
    <s v="1"/>
    <s v="26434"/>
    <s v="أحمد حسن"/>
    <x v="9"/>
    <x v="2"/>
    <x v="0"/>
    <x v="16"/>
    <x v="11"/>
    <d v="1980-11-12T00:00:00"/>
    <x v="10"/>
    <x v="1"/>
    <n v="20500"/>
    <n v="0.82"/>
    <n v="0.86"/>
    <n v="0.84"/>
    <n v="-0.04"/>
    <x v="16"/>
  </r>
  <r>
    <s v="25"/>
    <s v="26726"/>
    <s v="محمد راضي"/>
    <x v="4"/>
    <x v="3"/>
    <x v="2"/>
    <x v="17"/>
    <x v="2"/>
    <d v="1983-09-28T00:00:00"/>
    <x v="5"/>
    <x v="1"/>
    <n v="15635"/>
    <n v="0.84"/>
    <n v="0.84"/>
    <n v="0.84"/>
    <n v="0"/>
    <x v="17"/>
  </r>
  <r>
    <s v="18"/>
    <s v="25906"/>
    <s v="يوسف أحمد"/>
    <x v="0"/>
    <x v="0"/>
    <x v="2"/>
    <x v="15"/>
    <x v="10"/>
    <d v="1981-03-19T00:00:00"/>
    <x v="10"/>
    <x v="0"/>
    <n v="17215"/>
    <n v="0.8"/>
    <n v="0.87"/>
    <n v="0.83499999999999996"/>
    <n v="-7.0000000000000007E-2"/>
    <x v="18"/>
  </r>
  <r>
    <s v="93"/>
    <s v="26748"/>
    <s v="هند بهاء"/>
    <x v="0"/>
    <x v="0"/>
    <x v="2"/>
    <x v="18"/>
    <x v="8"/>
    <d v="1982-02-03T00:00:00"/>
    <x v="11"/>
    <x v="0"/>
    <n v="20019"/>
    <n v="0.89"/>
    <n v="0.78"/>
    <n v="0.83499999999999996"/>
    <n v="0.11"/>
    <x v="19"/>
  </r>
  <r>
    <s v="12"/>
    <s v="26401"/>
    <s v="خالد محمد"/>
    <x v="1"/>
    <x v="1"/>
    <x v="2"/>
    <x v="19"/>
    <x v="2"/>
    <d v="1970-05-29T00:00:00"/>
    <x v="0"/>
    <x v="1"/>
    <n v="16455"/>
    <n v="0.75"/>
    <n v="0.92"/>
    <n v="0.83499999999999996"/>
    <n v="-0.17"/>
    <x v="20"/>
  </r>
  <r>
    <s v="28"/>
    <s v="27092"/>
    <s v="فادي نور"/>
    <x v="2"/>
    <x v="2"/>
    <x v="0"/>
    <x v="20"/>
    <x v="2"/>
    <d v="1981-04-12T00:00:00"/>
    <x v="10"/>
    <x v="1"/>
    <n v="16408"/>
    <n v="0.76"/>
    <n v="0.91"/>
    <n v="0.83499999999999996"/>
    <n v="-0.15"/>
    <x v="21"/>
  </r>
  <r>
    <s v="14"/>
    <s v="26422"/>
    <s v="ندي إبراهيم"/>
    <x v="10"/>
    <x v="3"/>
    <x v="2"/>
    <x v="21"/>
    <x v="4"/>
    <d v="1963-11-18T00:00:00"/>
    <x v="12"/>
    <x v="1"/>
    <n v="19023"/>
    <n v="0.78"/>
    <n v="0.89"/>
    <n v="0.83499999999999996"/>
    <n v="-0.11"/>
    <x v="22"/>
  </r>
  <r>
    <s v="56"/>
    <s v="30351"/>
    <s v="نورهان أحمد"/>
    <x v="2"/>
    <x v="2"/>
    <x v="2"/>
    <x v="22"/>
    <x v="5"/>
    <d v="1974-03-10T00:00:00"/>
    <x v="6"/>
    <x v="1"/>
    <n v="14170"/>
    <n v="0.77"/>
    <n v="0.89"/>
    <n v="0.83"/>
    <n v="-0.12"/>
    <x v="23"/>
  </r>
  <r>
    <s v="57"/>
    <s v="26441"/>
    <s v="منه محمود"/>
    <x v="3"/>
    <x v="2"/>
    <x v="1"/>
    <x v="20"/>
    <x v="2"/>
    <d v="1984-11-01T00:00:00"/>
    <x v="13"/>
    <x v="1"/>
    <n v="3254"/>
    <n v="0.81"/>
    <n v="0.85"/>
    <n v="0.83"/>
    <n v="-3.9999999999999897E-2"/>
    <x v="24"/>
  </r>
  <r>
    <s v="73"/>
    <s v="27618"/>
    <s v="أحمد حسن"/>
    <x v="0"/>
    <x v="0"/>
    <x v="2"/>
    <x v="23"/>
    <x v="5"/>
    <d v="1972-03-04T00:00:00"/>
    <x v="14"/>
    <x v="0"/>
    <n v="21390"/>
    <n v="0.76"/>
    <n v="0.89"/>
    <n v="0.82499999999999996"/>
    <n v="-0.13"/>
    <x v="25"/>
  </r>
  <r>
    <s v="82"/>
    <s v="31455"/>
    <s v="خالد محمد"/>
    <x v="0"/>
    <x v="0"/>
    <x v="1"/>
    <x v="24"/>
    <x v="12"/>
    <d v="1979-09-26T00:00:00"/>
    <x v="8"/>
    <x v="0"/>
    <n v="8138"/>
    <n v="0.82"/>
    <n v="0.83"/>
    <n v="0.82499999999999996"/>
    <n v="-0.01"/>
    <x v="26"/>
  </r>
  <r>
    <s v="60"/>
    <s v="26430"/>
    <s v="محمد راضي"/>
    <x v="0"/>
    <x v="0"/>
    <x v="0"/>
    <x v="25"/>
    <x v="5"/>
    <d v="1970-08-23T00:00:00"/>
    <x v="0"/>
    <x v="0"/>
    <n v="20603"/>
    <n v="0.88"/>
    <n v="0.76"/>
    <n v="0.82"/>
    <n v="0.12"/>
    <x v="27"/>
  </r>
  <r>
    <s v="13"/>
    <s v="26435"/>
    <s v="نسمة كامل"/>
    <x v="1"/>
    <x v="1"/>
    <x v="1"/>
    <x v="26"/>
    <x v="12"/>
    <d v="1962-09-21T00:00:00"/>
    <x v="15"/>
    <x v="1"/>
    <n v="4981"/>
    <n v="0.77"/>
    <n v="0.86"/>
    <n v="0.81499999999999995"/>
    <n v="-0.09"/>
    <x v="28"/>
  </r>
  <r>
    <s v="33"/>
    <s v="26410"/>
    <s v="تغريد يحيي"/>
    <x v="1"/>
    <x v="1"/>
    <x v="1"/>
    <x v="27"/>
    <x v="2"/>
    <d v="1975-08-20T00:00:00"/>
    <x v="16"/>
    <x v="1"/>
    <n v="3165"/>
    <n v="0.84"/>
    <n v="0.78"/>
    <n v="0.81"/>
    <n v="5.9999999999999901E-2"/>
    <x v="29"/>
  </r>
  <r>
    <s v="34"/>
    <s v="27385"/>
    <s v="حسن أحمد"/>
    <x v="1"/>
    <x v="1"/>
    <x v="0"/>
    <x v="28"/>
    <x v="2"/>
    <d v="1967-11-09T00:00:00"/>
    <x v="3"/>
    <x v="1"/>
    <n v="20883"/>
    <n v="0.85"/>
    <n v="0.76"/>
    <n v="0.80500000000000005"/>
    <n v="0.09"/>
    <x v="30"/>
  </r>
  <r>
    <s v="90"/>
    <s v="26421"/>
    <s v="نورهان أحمد"/>
    <x v="0"/>
    <x v="0"/>
    <x v="2"/>
    <x v="29"/>
    <x v="10"/>
    <d v="1973-11-24T00:00:00"/>
    <x v="6"/>
    <x v="0"/>
    <n v="8005"/>
    <n v="0.85"/>
    <n v="0.75"/>
    <n v="0.8"/>
    <n v="0.1"/>
    <x v="31"/>
  </r>
  <r>
    <s v="54"/>
    <s v="27143"/>
    <s v="يوسف أحمد"/>
    <x v="2"/>
    <x v="2"/>
    <x v="0"/>
    <x v="30"/>
    <x v="8"/>
    <d v="1969-08-19T00:00:00"/>
    <x v="17"/>
    <x v="1"/>
    <n v="8529"/>
    <n v="0.83"/>
    <n v="0.77"/>
    <n v="0.8"/>
    <n v="5.9999999999999901E-2"/>
    <x v="32"/>
  </r>
  <r>
    <s v="92"/>
    <s v="28927"/>
    <s v="منه أحمد"/>
    <x v="0"/>
    <x v="0"/>
    <x v="2"/>
    <x v="31"/>
    <x v="8"/>
    <d v="1969-02-20T00:00:00"/>
    <x v="17"/>
    <x v="0"/>
    <n v="23284"/>
    <n v="0.75"/>
    <n v="0.84"/>
    <n v="0.79500000000000004"/>
    <n v="-0.09"/>
    <x v="33"/>
  </r>
  <r>
    <s v="58"/>
    <s v="30349"/>
    <s v="منه أحمد"/>
    <x v="5"/>
    <x v="4"/>
    <x v="1"/>
    <x v="32"/>
    <x v="2"/>
    <d v="1970-11-04T00:00:00"/>
    <x v="7"/>
    <x v="1"/>
    <n v="1952"/>
    <n v="0.83"/>
    <n v="0.76"/>
    <n v="0.79500000000000004"/>
    <n v="7.0000000000000007E-2"/>
    <x v="34"/>
  </r>
  <r>
    <s v="58"/>
    <s v="30349"/>
    <s v="منه أحمد"/>
    <x v="5"/>
    <x v="4"/>
    <x v="1"/>
    <x v="32"/>
    <x v="2"/>
    <d v="1970-11-04T00:00:00"/>
    <x v="7"/>
    <x v="1"/>
    <n v="1952"/>
    <n v="0.83"/>
    <n v="0.76"/>
    <n v="0.79500000000000004"/>
    <n v="7.0000000000000007E-2"/>
    <x v="34"/>
  </r>
  <r>
    <s v="52"/>
    <s v="26413"/>
    <s v="تامر خالد"/>
    <x v="0"/>
    <x v="0"/>
    <x v="0"/>
    <x v="33"/>
    <x v="11"/>
    <d v="1969-06-02T00:00:00"/>
    <x v="17"/>
    <x v="0"/>
    <n v="24004"/>
    <n v="0.81"/>
    <n v="0.77"/>
    <n v="0.79"/>
    <n v="0.04"/>
    <x v="35"/>
  </r>
  <r>
    <s v="29"/>
    <s v="26429"/>
    <s v="نور يحيي"/>
    <x v="3"/>
    <x v="2"/>
    <x v="1"/>
    <x v="34"/>
    <x v="13"/>
    <d v="1982-08-15T00:00:00"/>
    <x v="11"/>
    <x v="1"/>
    <n v="2323"/>
    <n v="0.83"/>
    <n v="0.75"/>
    <n v="0.79"/>
    <n v="0.08"/>
    <x v="36"/>
  </r>
  <r>
    <s v="9"/>
    <s v="26412"/>
    <s v="كامل عصام"/>
    <x v="5"/>
    <x v="4"/>
    <x v="0"/>
    <x v="35"/>
    <x v="14"/>
    <d v="1984-02-21T00:00:00"/>
    <x v="5"/>
    <x v="1"/>
    <n v="11492"/>
    <n v="0.81"/>
    <n v="0.77"/>
    <n v="0.79"/>
    <n v="0.04"/>
    <x v="37"/>
  </r>
  <r>
    <s v="9"/>
    <s v="26412"/>
    <s v="كامل عصام"/>
    <x v="5"/>
    <x v="4"/>
    <x v="0"/>
    <x v="35"/>
    <x v="14"/>
    <d v="1984-02-21T00:00:00"/>
    <x v="5"/>
    <x v="1"/>
    <n v="11492"/>
    <n v="0.81"/>
    <n v="0.77"/>
    <n v="0.79"/>
    <n v="0.04"/>
    <x v="37"/>
  </r>
  <r>
    <s v="78"/>
    <s v="28166"/>
    <s v="الاء أحمد"/>
    <x v="0"/>
    <x v="0"/>
    <x v="0"/>
    <x v="36"/>
    <x v="2"/>
    <d v="1983-08-08T00:00:00"/>
    <x v="2"/>
    <x v="0"/>
    <n v="13943"/>
    <n v="0.78"/>
    <n v="0.78"/>
    <n v="0.78"/>
    <n v="0"/>
    <x v="38"/>
  </r>
  <r>
    <s v="8"/>
    <s v="27621"/>
    <s v="الاء أحمد"/>
    <x v="3"/>
    <x v="2"/>
    <x v="2"/>
    <x v="37"/>
    <x v="15"/>
    <d v="1981-02-08T00:00:00"/>
    <x v="10"/>
    <x v="1"/>
    <n v="23537"/>
    <n v="0.87"/>
    <n v="0.69"/>
    <n v="0.78"/>
    <n v="0.18"/>
    <x v="39"/>
  </r>
  <r>
    <s v="88"/>
    <s v="28227"/>
    <s v="يوسف أحمد"/>
    <x v="4"/>
    <x v="3"/>
    <x v="2"/>
    <x v="35"/>
    <x v="14"/>
    <d v="1972-04-06T00:00:00"/>
    <x v="14"/>
    <x v="1"/>
    <n v="1673"/>
    <n v="0.78"/>
    <n v="0.78"/>
    <n v="0.78"/>
    <n v="0"/>
    <x v="40"/>
  </r>
  <r>
    <s v="21"/>
    <s v="31456"/>
    <s v="منه محمود"/>
    <x v="0"/>
    <x v="0"/>
    <x v="0"/>
    <x v="5"/>
    <x v="5"/>
    <d v="1963-10-28T00:00:00"/>
    <x v="12"/>
    <x v="0"/>
    <n v="4649"/>
    <n v="0.75"/>
    <n v="0.78"/>
    <n v="0.76500000000000001"/>
    <n v="-0.03"/>
    <x v="41"/>
  </r>
  <r>
    <s v="43"/>
    <s v="26444"/>
    <s v="مهاب أسامة"/>
    <x v="0"/>
    <x v="0"/>
    <x v="2"/>
    <x v="38"/>
    <x v="16"/>
    <d v="1978-10-19T00:00:00"/>
    <x v="18"/>
    <x v="0"/>
    <n v="16767"/>
    <n v="0.84"/>
    <n v="0.69"/>
    <n v="0.76500000000000001"/>
    <n v="0.15"/>
    <x v="42"/>
  </r>
  <r>
    <s v="17"/>
    <s v="27650"/>
    <s v="حازم أحمد"/>
    <x v="0"/>
    <x v="0"/>
    <x v="0"/>
    <x v="39"/>
    <x v="17"/>
    <d v="1979-12-05T00:00:00"/>
    <x v="8"/>
    <x v="0"/>
    <n v="6329"/>
    <n v="0.81"/>
    <n v="0.71"/>
    <n v="0.76"/>
    <n v="0.1"/>
    <x v="43"/>
  </r>
  <r>
    <s v="61"/>
    <s v="26389"/>
    <s v="مؤمن محمد"/>
    <x v="1"/>
    <x v="1"/>
    <x v="2"/>
    <x v="40"/>
    <x v="7"/>
    <d v="1959-05-25T00:00:00"/>
    <x v="19"/>
    <x v="1"/>
    <n v="13380"/>
    <n v="0.8"/>
    <n v="0.72"/>
    <n v="0.76"/>
    <n v="8.0000000000000099E-2"/>
    <x v="44"/>
  </r>
  <r>
    <s v="53"/>
    <s v="26443"/>
    <s v="حازم أحمد"/>
    <x v="4"/>
    <x v="3"/>
    <x v="0"/>
    <x v="41"/>
    <x v="15"/>
    <d v="1970-02-09T00:00:00"/>
    <x v="0"/>
    <x v="1"/>
    <n v="12903"/>
    <n v="0.77"/>
    <n v="0.75"/>
    <n v="0.76"/>
    <n v="0.02"/>
    <x v="45"/>
  </r>
  <r>
    <s v="49"/>
    <s v="26415"/>
    <s v="نسمة كامل"/>
    <x v="3"/>
    <x v="2"/>
    <x v="1"/>
    <x v="42"/>
    <x v="18"/>
    <d v="1969-08-12T00:00:00"/>
    <x v="17"/>
    <x v="1"/>
    <n v="23771"/>
    <n v="0.88"/>
    <n v="0.63"/>
    <n v="0.755"/>
    <n v="0.25"/>
    <x v="46"/>
  </r>
  <r>
    <s v="67"/>
    <s v="27009"/>
    <s v="يحيي هادي"/>
    <x v="2"/>
    <x v="2"/>
    <x v="2"/>
    <x v="43"/>
    <x v="19"/>
    <d v="1967-11-05T00:00:00"/>
    <x v="3"/>
    <x v="1"/>
    <n v="5735"/>
    <n v="0.82"/>
    <n v="0.69"/>
    <n v="0.755"/>
    <n v="0.13"/>
    <x v="47"/>
  </r>
  <r>
    <s v="15"/>
    <s v="26414"/>
    <s v="عبد الرحمن محمد"/>
    <x v="4"/>
    <x v="3"/>
    <x v="0"/>
    <x v="44"/>
    <x v="0"/>
    <d v="1972-05-16T00:00:00"/>
    <x v="14"/>
    <x v="1"/>
    <n v="12801"/>
    <n v="0.75"/>
    <n v="0.76"/>
    <n v="0.755"/>
    <n v="-0.01"/>
    <x v="48"/>
  </r>
  <r>
    <s v="76"/>
    <s v="26999"/>
    <s v="أحمد سمير"/>
    <x v="10"/>
    <x v="3"/>
    <x v="0"/>
    <x v="45"/>
    <x v="2"/>
    <d v="1966-08-13T00:00:00"/>
    <x v="20"/>
    <x v="1"/>
    <n v="21183"/>
    <n v="0.85"/>
    <n v="0.66"/>
    <n v="0.755"/>
    <n v="0.19"/>
    <x v="49"/>
  </r>
  <r>
    <s v="19"/>
    <s v="26439"/>
    <s v="أحمد فريد"/>
    <x v="0"/>
    <x v="0"/>
    <x v="1"/>
    <x v="46"/>
    <x v="5"/>
    <d v="1969-01-10T00:00:00"/>
    <x v="17"/>
    <x v="0"/>
    <n v="4799"/>
    <n v="0.86"/>
    <n v="0.64"/>
    <n v="0.75"/>
    <n v="0.22"/>
    <x v="50"/>
  </r>
  <r>
    <s v="23"/>
    <s v="26448"/>
    <s v="هند بهاء"/>
    <x v="0"/>
    <x v="0"/>
    <x v="2"/>
    <x v="47"/>
    <x v="2"/>
    <d v="1983-06-20T00:00:00"/>
    <x v="2"/>
    <x v="0"/>
    <n v="18240"/>
    <n v="0.89"/>
    <n v="0.61"/>
    <n v="0.75"/>
    <n v="0.28000000000000003"/>
    <x v="51"/>
  </r>
  <r>
    <s v="38"/>
    <s v="26440"/>
    <s v="محمد أحمد"/>
    <x v="0"/>
    <x v="0"/>
    <x v="0"/>
    <x v="9"/>
    <x v="7"/>
    <d v="1977-08-27T00:00:00"/>
    <x v="21"/>
    <x v="0"/>
    <n v="2486"/>
    <n v="0.83"/>
    <n v="0.67"/>
    <n v="0.75"/>
    <n v="0.16"/>
    <x v="52"/>
  </r>
  <r>
    <s v="46"/>
    <s v="26994"/>
    <s v="هدي محمد"/>
    <x v="2"/>
    <x v="2"/>
    <x v="0"/>
    <x v="48"/>
    <x v="16"/>
    <d v="1965-12-15T00:00:00"/>
    <x v="20"/>
    <x v="1"/>
    <n v="6553"/>
    <n v="0.75"/>
    <n v="0.75"/>
    <n v="0.75"/>
    <n v="0"/>
    <x v="53"/>
  </r>
  <r>
    <s v="35"/>
    <s v="26431"/>
    <s v="مروة محمد عبدالله"/>
    <x v="10"/>
    <x v="3"/>
    <x v="0"/>
    <x v="49"/>
    <x v="20"/>
    <d v="1984-02-21T00:00:00"/>
    <x v="5"/>
    <x v="1"/>
    <n v="20897"/>
    <n v="0.83"/>
    <n v="0.67"/>
    <n v="0.75"/>
    <n v="0.16"/>
    <x v="54"/>
  </r>
  <r>
    <s v="81"/>
    <s v="26998"/>
    <s v="أشرف أحمد"/>
    <x v="0"/>
    <x v="0"/>
    <x v="0"/>
    <x v="50"/>
    <x v="16"/>
    <d v="1976-01-15T00:00:00"/>
    <x v="22"/>
    <x v="0"/>
    <n v="19015"/>
    <n v="0.84"/>
    <n v="0.65"/>
    <n v="0.745"/>
    <n v="0.19"/>
    <x v="55"/>
  </r>
  <r>
    <s v="20"/>
    <s v="26438"/>
    <s v="نورهان أحمد"/>
    <x v="0"/>
    <x v="0"/>
    <x v="1"/>
    <x v="51"/>
    <x v="5"/>
    <d v="1969-01-07T00:00:00"/>
    <x v="17"/>
    <x v="0"/>
    <n v="18547"/>
    <n v="0.82"/>
    <n v="0.65"/>
    <n v="0.73499999999999999"/>
    <n v="0.17"/>
    <x v="56"/>
  </r>
  <r>
    <s v="59"/>
    <s v="26347"/>
    <s v="هند بهاء"/>
    <x v="0"/>
    <x v="0"/>
    <x v="0"/>
    <x v="52"/>
    <x v="2"/>
    <d v="1989-04-01T00:00:00"/>
    <x v="23"/>
    <x v="0"/>
    <n v="7329"/>
    <n v="0.86"/>
    <n v="0.61"/>
    <n v="0.73499999999999999"/>
    <n v="0.25"/>
    <x v="57"/>
  </r>
  <r>
    <s v="91"/>
    <s v="26419"/>
    <s v="منه محمود"/>
    <x v="0"/>
    <x v="0"/>
    <x v="0"/>
    <x v="53"/>
    <x v="8"/>
    <d v="1970-03-28T00:00:00"/>
    <x v="0"/>
    <x v="0"/>
    <n v="7002"/>
    <n v="0.87"/>
    <n v="0.6"/>
    <n v="0.73499999999999999"/>
    <n v="0.27"/>
    <x v="58"/>
  </r>
  <r>
    <s v="4"/>
    <s v="29769"/>
    <s v="علي محمد"/>
    <x v="11"/>
    <x v="1"/>
    <x v="2"/>
    <x v="54"/>
    <x v="10"/>
    <d v="1972-07-14T00:00:00"/>
    <x v="14"/>
    <x v="2"/>
    <n v="26520"/>
    <n v="0.81"/>
    <n v="0.66"/>
    <n v="0.73499999999999999"/>
    <n v="0.15"/>
    <x v="59"/>
  </r>
  <r>
    <s v="83"/>
    <s v="26399"/>
    <s v="نسمة كامل"/>
    <x v="7"/>
    <x v="2"/>
    <x v="0"/>
    <x v="55"/>
    <x v="18"/>
    <d v="1982-04-01T00:00:00"/>
    <x v="11"/>
    <x v="1"/>
    <n v="6834"/>
    <n v="0.83"/>
    <n v="0.64"/>
    <n v="0.73499999999999999"/>
    <n v="0.19"/>
    <x v="60"/>
  </r>
  <r>
    <s v="32"/>
    <s v="27960"/>
    <s v="يحيي هادي"/>
    <x v="0"/>
    <x v="0"/>
    <x v="0"/>
    <x v="27"/>
    <x v="2"/>
    <d v="1964-09-21T00:00:00"/>
    <x v="9"/>
    <x v="0"/>
    <n v="13889"/>
    <n v="0.85"/>
    <n v="0.61"/>
    <n v="0.73"/>
    <n v="0.24"/>
    <x v="61"/>
  </r>
  <r>
    <s v="11"/>
    <s v="29369"/>
    <s v="أشرف أحمد"/>
    <x v="0"/>
    <x v="0"/>
    <x v="0"/>
    <x v="56"/>
    <x v="2"/>
    <d v="1978-11-13T00:00:00"/>
    <x v="18"/>
    <x v="0"/>
    <n v="7943"/>
    <n v="0.75"/>
    <n v="0.7"/>
    <n v="0.72499999999999998"/>
    <n v="0.05"/>
    <x v="62"/>
  </r>
  <r>
    <s v="50"/>
    <s v="30350"/>
    <s v="ندي إبراهيم"/>
    <x v="5"/>
    <x v="4"/>
    <x v="0"/>
    <x v="13"/>
    <x v="9"/>
    <d v="1969-12-02T00:00:00"/>
    <x v="0"/>
    <x v="1"/>
    <n v="6348"/>
    <n v="0.76"/>
    <n v="0.69"/>
    <n v="0.72499999999999998"/>
    <n v="7.0000000000000104E-2"/>
    <x v="63"/>
  </r>
  <r>
    <s v="50"/>
    <s v="30350"/>
    <s v="ندي إبراهيم"/>
    <x v="5"/>
    <x v="4"/>
    <x v="0"/>
    <x v="13"/>
    <x v="9"/>
    <d v="1969-12-02T00:00:00"/>
    <x v="0"/>
    <x v="1"/>
    <n v="6348"/>
    <n v="0.76"/>
    <n v="0.69"/>
    <n v="0.72499999999999998"/>
    <n v="7.0000000000000104E-2"/>
    <x v="63"/>
  </r>
  <r>
    <s v="86"/>
    <s v="27144"/>
    <s v="تامر خالد"/>
    <x v="1"/>
    <x v="1"/>
    <x v="2"/>
    <x v="57"/>
    <x v="11"/>
    <d v="1967-12-01T00:00:00"/>
    <x v="3"/>
    <x v="1"/>
    <n v="2185"/>
    <n v="0.79"/>
    <n v="0.65"/>
    <n v="0.72"/>
    <n v="0.14000000000000001"/>
    <x v="64"/>
  </r>
  <r>
    <s v="27"/>
    <s v="29368"/>
    <s v="حسين ياسر"/>
    <x v="7"/>
    <x v="2"/>
    <x v="1"/>
    <x v="45"/>
    <x v="2"/>
    <d v="1973-11-14T00:00:00"/>
    <x v="6"/>
    <x v="1"/>
    <n v="20121"/>
    <n v="0.8"/>
    <n v="0.64"/>
    <n v="0.72"/>
    <n v="0.16"/>
    <x v="65"/>
  </r>
  <r>
    <s v="31"/>
    <s v="26437"/>
    <s v="مارك يوسف"/>
    <x v="0"/>
    <x v="0"/>
    <x v="2"/>
    <x v="51"/>
    <x v="5"/>
    <d v="1976-08-16T00:00:00"/>
    <x v="22"/>
    <x v="0"/>
    <n v="3445"/>
    <n v="0.78"/>
    <n v="0.65"/>
    <n v="0.71499999999999997"/>
    <n v="0.13"/>
    <x v="66"/>
  </r>
  <r>
    <s v="51"/>
    <s v="28126"/>
    <s v="عبد الرحمن محمد"/>
    <x v="0"/>
    <x v="0"/>
    <x v="2"/>
    <x v="58"/>
    <x v="19"/>
    <d v="1977-02-10T00:00:00"/>
    <x v="21"/>
    <x v="0"/>
    <n v="12122"/>
    <n v="0.76"/>
    <n v="0.67"/>
    <n v="0.71499999999999997"/>
    <n v="0.09"/>
    <x v="67"/>
  </r>
  <r>
    <s v="89"/>
    <s v="26425"/>
    <s v="أحمد فريد"/>
    <x v="0"/>
    <x v="0"/>
    <x v="1"/>
    <x v="59"/>
    <x v="10"/>
    <d v="1972-05-20T00:00:00"/>
    <x v="14"/>
    <x v="0"/>
    <n v="5061"/>
    <n v="0.75"/>
    <n v="0.67"/>
    <n v="0.71"/>
    <n v="0.08"/>
    <x v="68"/>
  </r>
  <r>
    <s v="94"/>
    <s v="27494"/>
    <s v="محمد راضي"/>
    <x v="0"/>
    <x v="0"/>
    <x v="0"/>
    <x v="18"/>
    <x v="8"/>
    <d v="1978-10-29T00:00:00"/>
    <x v="18"/>
    <x v="0"/>
    <n v="11645"/>
    <n v="0.8"/>
    <n v="0.62"/>
    <n v="0.71"/>
    <n v="0.18"/>
    <x v="69"/>
  </r>
  <r>
    <s v="71"/>
    <s v="30460"/>
    <s v="نغم محمد"/>
    <x v="5"/>
    <x v="4"/>
    <x v="0"/>
    <x v="60"/>
    <x v="17"/>
    <d v="1976-12-06T00:00:00"/>
    <x v="21"/>
    <x v="1"/>
    <n v="18214"/>
    <n v="0.78"/>
    <n v="0.64"/>
    <n v="0.71"/>
    <n v="0.14000000000000001"/>
    <x v="70"/>
  </r>
  <r>
    <s v="71"/>
    <s v="30460"/>
    <s v="نغم محمد"/>
    <x v="5"/>
    <x v="4"/>
    <x v="0"/>
    <x v="60"/>
    <x v="17"/>
    <d v="1976-12-06T00:00:00"/>
    <x v="21"/>
    <x v="1"/>
    <n v="18214"/>
    <n v="0.78"/>
    <n v="0.64"/>
    <n v="0.71"/>
    <n v="0.14000000000000001"/>
    <x v="70"/>
  </r>
  <r>
    <s v="5"/>
    <s v="27375"/>
    <s v="أحمد سمير"/>
    <x v="12"/>
    <x v="0"/>
    <x v="2"/>
    <x v="61"/>
    <x v="21"/>
    <d v="1980-03-01T00:00:00"/>
    <x v="8"/>
    <x v="1"/>
    <n v="35000"/>
    <n v="0.89"/>
    <n v="0.52"/>
    <n v="0.70499999999999996"/>
    <n v="0.37"/>
    <x v="71"/>
  </r>
  <r>
    <s v="75"/>
    <s v="25907"/>
    <s v="علي محمد"/>
    <x v="1"/>
    <x v="1"/>
    <x v="0"/>
    <x v="27"/>
    <x v="2"/>
    <d v="1977-02-01T00:00:00"/>
    <x v="21"/>
    <x v="1"/>
    <n v="19451"/>
    <n v="0.77"/>
    <n v="0.63"/>
    <n v="0.7"/>
    <n v="0.14000000000000001"/>
    <x v="72"/>
  </r>
  <r>
    <s v="40"/>
    <s v="31457"/>
    <s v="محمد علاء"/>
    <x v="0"/>
    <x v="0"/>
    <x v="2"/>
    <x v="62"/>
    <x v="22"/>
    <d v="1964-06-04T00:00:00"/>
    <x v="12"/>
    <x v="0"/>
    <n v="22438"/>
    <n v="0.82"/>
    <n v="0.56999999999999995"/>
    <n v="0.69499999999999995"/>
    <n v="0.25"/>
    <x v="73"/>
  </r>
  <r>
    <s v="36"/>
    <s v="26396"/>
    <s v="هالة عبد العال"/>
    <x v="4"/>
    <x v="3"/>
    <x v="1"/>
    <x v="63"/>
    <x v="10"/>
    <d v="1975-08-01T00:00:00"/>
    <x v="16"/>
    <x v="1"/>
    <n v="15730"/>
    <n v="0.86"/>
    <n v="0.53"/>
    <n v="0.69499999999999995"/>
    <n v="0.33"/>
    <x v="74"/>
  </r>
  <r>
    <s v="44"/>
    <s v="26445"/>
    <s v="الاء أحمد"/>
    <x v="4"/>
    <x v="3"/>
    <x v="0"/>
    <x v="64"/>
    <x v="15"/>
    <d v="1969-10-20T00:00:00"/>
    <x v="0"/>
    <x v="1"/>
    <n v="16861"/>
    <n v="0.87"/>
    <n v="0.52"/>
    <n v="0.69499999999999995"/>
    <n v="0.35"/>
    <x v="75"/>
  </r>
  <r>
    <s v="87"/>
    <s v="26447"/>
    <s v="حازم أحمد"/>
    <x v="10"/>
    <x v="3"/>
    <x v="2"/>
    <x v="65"/>
    <x v="15"/>
    <d v="1980-05-01T00:00:00"/>
    <x v="8"/>
    <x v="1"/>
    <n v="2227"/>
    <n v="0.8"/>
    <n v="0.59"/>
    <n v="0.69499999999999995"/>
    <n v="0.21"/>
    <x v="76"/>
  </r>
  <r>
    <s v="70"/>
    <s v="27150"/>
    <s v="هالة عبد العال"/>
    <x v="3"/>
    <x v="2"/>
    <x v="0"/>
    <x v="66"/>
    <x v="0"/>
    <d v="1964-12-15T00:00:00"/>
    <x v="9"/>
    <x v="1"/>
    <n v="11445"/>
    <n v="0.8"/>
    <n v="0.57999999999999996"/>
    <n v="0.69"/>
    <n v="0.22"/>
    <x v="77"/>
  </r>
  <r>
    <s v="65"/>
    <s v="26402"/>
    <s v="اسراء عصام"/>
    <x v="4"/>
    <x v="3"/>
    <x v="0"/>
    <x v="67"/>
    <x v="9"/>
    <d v="1968-10-13T00:00:00"/>
    <x v="17"/>
    <x v="1"/>
    <n v="24472"/>
    <n v="0.84"/>
    <n v="0.52"/>
    <n v="0.68"/>
    <n v="0.32"/>
    <x v="78"/>
  </r>
  <r>
    <s v="48"/>
    <s v="26424"/>
    <s v="خالد محمد"/>
    <x v="2"/>
    <x v="2"/>
    <x v="0"/>
    <x v="68"/>
    <x v="12"/>
    <d v="1974-04-11T00:00:00"/>
    <x v="6"/>
    <x v="1"/>
    <n v="20909"/>
    <n v="0.88"/>
    <n v="0.46"/>
    <n v="0.67"/>
    <n v="0.42"/>
    <x v="79"/>
  </r>
  <r>
    <s v="68"/>
    <s v="26428"/>
    <s v="تغريد يحيي"/>
    <x v="7"/>
    <x v="2"/>
    <x v="2"/>
    <x v="69"/>
    <x v="11"/>
    <d v="1970-01-04T00:00:00"/>
    <x v="0"/>
    <x v="1"/>
    <n v="2725"/>
    <n v="0.8"/>
    <n v="0.54"/>
    <n v="0.67"/>
    <n v="0.26"/>
    <x v="80"/>
  </r>
  <r>
    <s v="63"/>
    <s v="26610"/>
    <s v="فادي نور"/>
    <x v="10"/>
    <x v="3"/>
    <x v="2"/>
    <x v="9"/>
    <x v="7"/>
    <d v="1974-06-20T00:00:00"/>
    <x v="6"/>
    <x v="1"/>
    <n v="4388"/>
    <n v="0.86"/>
    <n v="0.47"/>
    <n v="0.66500000000000004"/>
    <n v="0.39"/>
    <x v="81"/>
  </r>
  <r>
    <s v="7"/>
    <s v="27008"/>
    <s v="ايمان علي سلامة"/>
    <x v="2"/>
    <x v="2"/>
    <x v="1"/>
    <x v="70"/>
    <x v="9"/>
    <d v="1982-09-01T00:00:00"/>
    <x v="11"/>
    <x v="1"/>
    <n v="19987"/>
    <n v="0.76"/>
    <n v="0.55000000000000004"/>
    <n v="0.65500000000000003"/>
    <n v="0.21"/>
    <x v="82"/>
  </r>
  <r>
    <s v="6"/>
    <s v="27154"/>
    <s v="مهاب أسامة"/>
    <x v="7"/>
    <x v="2"/>
    <x v="0"/>
    <x v="71"/>
    <x v="12"/>
    <d v="1966-07-08T00:00:00"/>
    <x v="20"/>
    <x v="1"/>
    <n v="17233"/>
    <n v="0.89"/>
    <n v="0.41"/>
    <n v="0.65"/>
    <n v="0.48"/>
    <x v="83"/>
  </r>
  <r>
    <s v="47"/>
    <s v="27007"/>
    <s v="أشرف أحمد"/>
    <x v="7"/>
    <x v="2"/>
    <x v="0"/>
    <x v="72"/>
    <x v="21"/>
    <d v="1977-10-25T00:00:00"/>
    <x v="1"/>
    <x v="1"/>
    <n v="13054"/>
    <n v="0.82"/>
    <n v="0.48"/>
    <n v="0.65"/>
    <n v="0.34"/>
    <x v="84"/>
  </r>
  <r>
    <s v="62"/>
    <s v="30459"/>
    <s v="حسين ياسر"/>
    <x v="1"/>
    <x v="1"/>
    <x v="1"/>
    <x v="73"/>
    <x v="6"/>
    <d v="1969-08-23T00:00:00"/>
    <x v="17"/>
    <x v="1"/>
    <n v="18856"/>
    <n v="0.81"/>
    <n v="0.48"/>
    <n v="0.64500000000000002"/>
    <n v="0.33"/>
    <x v="85"/>
  </r>
  <r>
    <s v="77"/>
    <s v="28929"/>
    <s v="مهاب أسامة"/>
    <x v="4"/>
    <x v="3"/>
    <x v="0"/>
    <x v="74"/>
    <x v="8"/>
    <d v="1969-11-25T00:00:00"/>
    <x v="0"/>
    <x v="1"/>
    <n v="22459"/>
    <n v="0.86"/>
    <n v="0.43"/>
    <n v="0.64500000000000002"/>
    <n v="0.43"/>
    <x v="86"/>
  </r>
  <r>
    <s v="16"/>
    <s v="27142"/>
    <s v="تامر خالد"/>
    <x v="0"/>
    <x v="0"/>
    <x v="0"/>
    <x v="75"/>
    <x v="17"/>
    <d v="1971-06-18T00:00:00"/>
    <x v="7"/>
    <x v="0"/>
    <n v="16613"/>
    <n v="0.84"/>
    <n v="0.42"/>
    <n v="0.63"/>
    <n v="0.42"/>
    <x v="87"/>
  </r>
  <r>
    <s v="79"/>
    <s v="27004"/>
    <s v="كامل عصام"/>
    <x v="0"/>
    <x v="0"/>
    <x v="0"/>
    <x v="76"/>
    <x v="13"/>
    <d v="1977-02-01T00:00:00"/>
    <x v="21"/>
    <x v="0"/>
    <n v="9011"/>
    <n v="0.79"/>
    <n v="0.46"/>
    <n v="0.625"/>
    <n v="0.33"/>
    <x v="88"/>
  </r>
  <r>
    <s v="39"/>
    <s v="26433"/>
    <s v="أحمد حسن"/>
    <x v="0"/>
    <x v="0"/>
    <x v="0"/>
    <x v="9"/>
    <x v="7"/>
    <d v="1964-04-30T00:00:00"/>
    <x v="12"/>
    <x v="0"/>
    <n v="9365"/>
    <n v="0.84"/>
    <n v="0.4"/>
    <n v="0.62"/>
    <n v="0.44"/>
    <x v="89"/>
  </r>
  <r>
    <s v="26"/>
    <s v="27374"/>
    <s v="مؤمن محمد"/>
    <x v="2"/>
    <x v="2"/>
    <x v="0"/>
    <x v="77"/>
    <x v="2"/>
    <d v="1975-07-28T00:00:00"/>
    <x v="16"/>
    <x v="1"/>
    <n v="7935"/>
    <n v="0.83"/>
    <n v="0.41"/>
    <n v="0.62"/>
    <n v="0.42"/>
    <x v="90"/>
  </r>
  <r>
    <s v="80"/>
    <s v="27649"/>
    <s v="هدي محمد"/>
    <x v="0"/>
    <x v="0"/>
    <x v="0"/>
    <x v="78"/>
    <x v="23"/>
    <d v="1979-04-25T00:00:00"/>
    <x v="18"/>
    <x v="0"/>
    <n v="5390"/>
    <n v="0.81"/>
    <n v="0.4"/>
    <n v="0.60499999999999998"/>
    <n v="0.41"/>
    <x v="91"/>
  </r>
  <r>
    <s v="69"/>
    <s v="26417"/>
    <s v="حسن أحمد"/>
    <x v="2"/>
    <x v="2"/>
    <x v="0"/>
    <x v="79"/>
    <x v="14"/>
    <d v="1971-02-17T00:00:00"/>
    <x v="7"/>
    <x v="1"/>
    <n v="5909"/>
    <n v="0.76"/>
    <n v="0.43"/>
    <n v="0.59499999999999997"/>
    <n v="0.33"/>
    <x v="92"/>
  </r>
  <r>
    <s v="41"/>
    <s v="27648"/>
    <s v="علي محمد"/>
    <x v="0"/>
    <x v="0"/>
    <x v="2"/>
    <x v="80"/>
    <x v="3"/>
    <d v="1989-08-23T00:00:00"/>
    <x v="23"/>
    <x v="0"/>
    <n v="20869"/>
    <n v="0.77"/>
    <n v="0.41"/>
    <n v="0.59"/>
    <n v="0.36"/>
    <x v="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AB9B3D-AEF8-4B1B-B396-1B32469A1726}"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عدد سنين الخبرة ">
  <location ref="G65:H71"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items count="7">
        <item x="1"/>
        <item x="2"/>
        <item x="4"/>
        <item x="3"/>
        <item m="1" x="5"/>
        <item x="0"/>
        <item t="default"/>
      </items>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axis="axisRow" showAll="0" sortType="descending">
      <items count="8">
        <item x="1"/>
        <item x="5"/>
        <item x="4"/>
        <item x="3"/>
        <item x="2"/>
        <item x="6"/>
        <item x="0"/>
        <item t="default"/>
      </items>
    </pivotField>
    <pivotField numFmtId="14" showAll="0"/>
    <pivotField showAll="0">
      <items count="9">
        <item x="0"/>
        <item x="1"/>
        <item x="2"/>
        <item x="3"/>
        <item x="4"/>
        <item x="5"/>
        <item x="6"/>
        <item x="7"/>
        <item t="default"/>
      </items>
    </pivotField>
    <pivotField showAll="0"/>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7"/>
  </rowFields>
  <rowItems count="6">
    <i>
      <x/>
    </i>
    <i>
      <x v="1"/>
    </i>
    <i>
      <x v="2"/>
    </i>
    <i>
      <x v="3"/>
    </i>
    <i>
      <x v="4"/>
    </i>
    <i t="grand">
      <x/>
    </i>
  </rowItems>
  <colItems count="1">
    <i/>
  </colItems>
  <dataFields count="1">
    <dataField name="متوسط الراتب" fld="11" subtotal="average" baseField="10" baseItem="0" numFmtId="168"/>
  </dataFields>
  <formats count="1">
    <format dxfId="29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FA581-EE26-4E8E-82C9-59A39C2B5456}"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القسم">
  <location ref="A93:C99" firstHeaderRow="0"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axis="axisRow" showAll="0" sortType="descending">
      <items count="7">
        <item x="1"/>
        <item x="2"/>
        <item x="4"/>
        <item x="3"/>
        <item m="1" x="5"/>
        <item x="0"/>
        <item t="default"/>
      </items>
      <autoSortScope>
        <pivotArea dataOnly="0" outline="0" fieldPosition="0">
          <references count="1">
            <reference field="4294967294" count="1" selected="0">
              <x v="1"/>
            </reference>
          </references>
        </pivotArea>
      </autoSortScope>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pivotField dataField="1" showAll="0"/>
    <pivotField numFmtId="9" showAll="0"/>
    <pivotField numFmtId="9" showAll="0"/>
    <pivotField dataField="1" numFmtId="9" showAll="0"/>
    <pivotField numFmtId="9"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27">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x="0"/>
        <item x="25"/>
        <item t="default"/>
      </items>
    </pivotField>
  </pivotFields>
  <rowFields count="1">
    <field x="4"/>
  </rowFields>
  <rowItems count="6">
    <i>
      <x v="2"/>
    </i>
    <i>
      <x v="3"/>
    </i>
    <i>
      <x/>
    </i>
    <i>
      <x v="5"/>
    </i>
    <i>
      <x v="1"/>
    </i>
    <i t="grand">
      <x/>
    </i>
  </rowItems>
  <colFields count="1">
    <field x="-2"/>
  </colFields>
  <colItems count="2">
    <i>
      <x/>
    </i>
    <i i="1">
      <x v="1"/>
    </i>
  </colItems>
  <dataFields count="2">
    <dataField name="متوسط الراتب" fld="11" subtotal="average" baseField="4" baseItem="0" numFmtId="168"/>
    <dataField name=" متوسط الاداء الكلي" fld="14" subtotal="average" baseField="4" baseItem="0" numFmtId="10"/>
  </dataFields>
  <formats count="4">
    <format dxfId="296">
      <pivotArea outline="0" collapsedLevelsAreSubtotals="1" fieldPosition="0"/>
    </format>
    <format dxfId="295">
      <pivotArea outline="0" collapsedLevelsAreSubtotals="1" fieldPosition="0">
        <references count="1">
          <reference field="4294967294" count="1" selected="0">
            <x v="1"/>
          </reference>
        </references>
      </pivotArea>
    </format>
    <format dxfId="294">
      <pivotArea collapsedLevelsAreSubtotals="1" fieldPosition="0">
        <references count="2">
          <reference field="4294967294" count="1" selected="0">
            <x v="1"/>
          </reference>
          <reference field="4" count="0"/>
        </references>
      </pivotArea>
    </format>
    <format dxfId="293">
      <pivotArea field="4"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EB1BD-A4EC-42B4-93E1-801AEB635C0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المؤهل الدراسي">
  <location ref="H29:I33" firstHeaderRow="1" firstDataRow="1" firstDataCol="1"/>
  <pivotFields count="21">
    <pivotField showAll="0"/>
    <pivotField dataField="1" showAll="0"/>
    <pivotField showAll="0"/>
    <pivotField showAll="0">
      <items count="14">
        <item x="1"/>
        <item x="10"/>
        <item x="11"/>
        <item x="3"/>
        <item x="9"/>
        <item x="7"/>
        <item x="8"/>
        <item x="6"/>
        <item x="4"/>
        <item x="2"/>
        <item x="12"/>
        <item x="0"/>
        <item x="5"/>
        <item t="default"/>
      </items>
    </pivotField>
    <pivotField showAll="0"/>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0"/>
  </rowFields>
  <rowItems count="4">
    <i>
      <x/>
    </i>
    <i>
      <x v="1"/>
    </i>
    <i>
      <x v="2"/>
    </i>
    <i t="grand">
      <x/>
    </i>
  </rowItems>
  <colItems count="1">
    <i/>
  </colItems>
  <dataFields count="1">
    <dataField name="عدد الموظفين" fld="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D9FA3-7A2E-40E7-A72D-C1F7DA81970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الاسم - الرقم الوظيفي">
  <location ref="E14:F26"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items count="4">
        <item x="1"/>
        <item x="0"/>
        <item x="2"/>
        <item t="default"/>
      </items>
    </pivotField>
    <pivotField showAll="0"/>
    <pivotField numFmtId="9" showAll="0"/>
    <pivotField numFmtId="9" showAll="0"/>
    <pivotField dataField="1" numFmtId="9" showAll="0"/>
    <pivotField numFmtId="9" showAll="0"/>
    <pivotField axis="axisRow" showAll="0" measureFilter="1" sortType="ascending">
      <items count="95">
        <item x="11"/>
        <item x="18"/>
        <item x="72"/>
        <item x="4"/>
        <item x="57"/>
        <item x="44"/>
        <item x="74"/>
        <item x="60"/>
        <item x="7"/>
        <item x="20"/>
        <item x="78"/>
        <item x="6"/>
        <item x="29"/>
        <item x="37"/>
        <item x="35"/>
        <item x="48"/>
        <item x="46"/>
        <item x="92"/>
        <item x="58"/>
        <item x="31"/>
        <item x="22"/>
        <item x="79"/>
        <item x="68"/>
        <item x="13"/>
        <item x="80"/>
        <item x="36"/>
        <item x="27"/>
        <item x="54"/>
        <item x="89"/>
        <item x="16"/>
        <item x="28"/>
        <item x="66"/>
        <item x="56"/>
        <item x="50"/>
        <item x="52"/>
        <item x="24"/>
        <item x="3"/>
        <item x="45"/>
        <item x="42"/>
        <item x="75"/>
        <item x="15"/>
        <item x="76"/>
        <item x="51"/>
        <item x="81"/>
        <item x="17"/>
        <item x="19"/>
        <item x="8"/>
        <item x="53"/>
        <item x="55"/>
        <item x="49"/>
        <item x="9"/>
        <item x="88"/>
        <item x="84"/>
        <item x="82"/>
        <item x="47"/>
        <item x="21"/>
        <item x="5"/>
        <item x="87"/>
        <item x="32"/>
        <item x="64"/>
        <item x="77"/>
        <item x="83"/>
        <item x="90"/>
        <item x="71"/>
        <item x="30"/>
        <item x="14"/>
        <item x="69"/>
        <item x="25"/>
        <item x="39"/>
        <item x="93"/>
        <item x="91"/>
        <item x="43"/>
        <item x="2"/>
        <item x="1"/>
        <item x="61"/>
        <item x="67"/>
        <item x="12"/>
        <item x="38"/>
        <item x="40"/>
        <item x="33"/>
        <item x="86"/>
        <item x="65"/>
        <item x="62"/>
        <item x="59"/>
        <item x="34"/>
        <item x="63"/>
        <item x="23"/>
        <item x="10"/>
        <item x="0"/>
        <item x="85"/>
        <item x="70"/>
        <item x="26"/>
        <item x="41"/>
        <item x="73"/>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6"/>
  </rowFields>
  <rowItems count="12">
    <i>
      <x v="50"/>
    </i>
    <i>
      <x v="87"/>
    </i>
    <i>
      <x v="46"/>
    </i>
    <i>
      <x v="8"/>
    </i>
    <i>
      <x v="11"/>
    </i>
    <i>
      <x v="56"/>
    </i>
    <i>
      <x v="3"/>
    </i>
    <i>
      <x v="73"/>
    </i>
    <i>
      <x v="36"/>
    </i>
    <i>
      <x v="72"/>
    </i>
    <i>
      <x v="88"/>
    </i>
    <i t="grand">
      <x/>
    </i>
  </rowItems>
  <colItems count="1">
    <i/>
  </colItems>
  <dataFields count="1">
    <dataField name=" متوسط الاداء الكلي" fld="14" subtotal="average" baseField="16" baseItem="0" numFmtId="9"/>
  </dataFields>
  <formats count="1">
    <format dxfId="297">
      <pivotArea collapsedLevelsAreSubtotals="1" fieldPosition="0">
        <references count="1">
          <reference field="16" count="11">
            <x v="3"/>
            <x v="8"/>
            <x v="11"/>
            <x v="36"/>
            <x v="46"/>
            <x v="50"/>
            <x v="56"/>
            <x v="72"/>
            <x v="73"/>
            <x v="87"/>
            <x v="88"/>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50B271-E58C-4C28-AB63-6C9A5EFE4E09}"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القسم">
  <location ref="A81:B87"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axis="axisRow" showAll="0" sortType="descending">
      <items count="7">
        <item x="1"/>
        <item x="2"/>
        <item x="4"/>
        <item x="3"/>
        <item m="1" x="5"/>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4"/>
  </rowFields>
  <rowItems count="6">
    <i>
      <x v="3"/>
    </i>
    <i>
      <x/>
    </i>
    <i>
      <x v="5"/>
    </i>
    <i>
      <x v="1"/>
    </i>
    <i>
      <x v="2"/>
    </i>
    <i t="grand">
      <x/>
    </i>
  </rowItems>
  <colItems count="1">
    <i/>
  </colItems>
  <dataFields count="1">
    <dataField name="متوسط الراتب" fld="11" subtotal="average" baseField="4" baseItem="0" numFmtId="168"/>
  </dataFields>
  <formats count="2">
    <format dxfId="299">
      <pivotArea outline="0" collapsedLevelsAreSubtotals="1" fieldPosition="0"/>
    </format>
    <format dxfId="298">
      <pivotArea collapsedLevelsAreSubtotals="1" fieldPosition="0">
        <references count="1">
          <reference field="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2343DE-DC57-4052-9E72-44C0351E092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القسم">
  <location ref="H14:I20"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axis="axisRow" showAll="0" sortType="descending">
      <items count="7">
        <item x="1"/>
        <item x="2"/>
        <item x="4"/>
        <item x="3"/>
        <item m="1" x="5"/>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items count="4">
        <item x="1"/>
        <item x="0"/>
        <item x="2"/>
        <item t="default"/>
      </items>
    </pivotField>
    <pivotField showAll="0"/>
    <pivotField numFmtId="9" showAll="0"/>
    <pivotField numFmtId="9" showAll="0"/>
    <pivotField dataField="1"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4"/>
  </rowFields>
  <rowItems count="6">
    <i>
      <x v="2"/>
    </i>
    <i>
      <x v="3"/>
    </i>
    <i>
      <x/>
    </i>
    <i>
      <x v="5"/>
    </i>
    <i>
      <x v="1"/>
    </i>
    <i t="grand">
      <x/>
    </i>
  </rowItems>
  <colItems count="1">
    <i/>
  </colItems>
  <dataFields count="1">
    <dataField name=" متوسط الاداء الكلي" fld="14" subtotal="average" baseField="4" baseItem="0" numFmtId="9"/>
  </dataFields>
  <formats count="1">
    <format dxfId="300">
      <pivotArea collapsedLevelsAreSubtotals="1" fieldPosition="0">
        <references count="1">
          <reference field="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9FE288-1FA6-4F11-92F2-738D659769D5}"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الموقع">
  <location ref="A73:B77"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items count="7">
        <item x="1"/>
        <item x="2"/>
        <item x="4"/>
        <item x="3"/>
        <item m="1" x="5"/>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5"/>
  </rowFields>
  <rowItems count="4">
    <i>
      <x v="1"/>
    </i>
    <i>
      <x/>
    </i>
    <i>
      <x v="2"/>
    </i>
    <i t="grand">
      <x/>
    </i>
  </rowItems>
  <colItems count="1">
    <i/>
  </colItems>
  <dataFields count="1">
    <dataField name="متوسط الراتب" fld="11" subtotal="average" baseField="10" baseItem="0" numFmtId="168"/>
  </dataFields>
  <formats count="1">
    <format dxfId="301">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DA5C63-B9A3-4C2A-814B-91EFDED8EE0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عدد سنين الخبرة">
  <location ref="A29:B35"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axis="axisRow" showAll="0" sortType="descending">
      <items count="8">
        <item x="1"/>
        <item x="5"/>
        <item x="4"/>
        <item x="3"/>
        <item x="2"/>
        <item x="6"/>
        <item x="0"/>
        <item t="default"/>
      </items>
    </pivotField>
    <pivotField numFmtId="14" showAll="0"/>
    <pivotField showAll="0">
      <items count="9">
        <item x="0"/>
        <item x="1"/>
        <item x="2"/>
        <item x="3"/>
        <item x="4"/>
        <item x="5"/>
        <item x="6"/>
        <item x="7"/>
        <item t="default"/>
      </items>
    </pivotField>
    <pivotField showAll="0">
      <items count="4">
        <item x="1"/>
        <item x="0"/>
        <item x="2"/>
        <item t="default"/>
      </items>
    </pivotField>
    <pivotField showAll="0"/>
    <pivotField numFmtId="9" showAll="0"/>
    <pivotField numFmtId="9" showAll="0"/>
    <pivotField dataField="1"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7"/>
  </rowFields>
  <rowItems count="6">
    <i>
      <x/>
    </i>
    <i>
      <x v="1"/>
    </i>
    <i>
      <x v="2"/>
    </i>
    <i>
      <x v="3"/>
    </i>
    <i>
      <x v="4"/>
    </i>
    <i t="grand">
      <x/>
    </i>
  </rowItems>
  <colItems count="1">
    <i/>
  </colItems>
  <dataFields count="1">
    <dataField name=" متوسط الاداء الكلي" fld="14"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688E7-84E7-429A-8343-7FC5E64C82F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0:E61" firstHeaderRow="0" firstDataRow="1" firstDataCol="0"/>
  <pivotFields count="21">
    <pivotField dataField="1" showAll="0"/>
    <pivotField showAll="0"/>
    <pivotField showAll="0"/>
    <pivotField showAll="0">
      <items count="14">
        <item x="1"/>
        <item x="10"/>
        <item x="11"/>
        <item x="3"/>
        <item x="9"/>
        <item x="7"/>
        <item x="8"/>
        <item x="6"/>
        <item x="4"/>
        <item x="2"/>
        <item x="12"/>
        <item x="0"/>
        <item x="5"/>
        <item t="default"/>
      </items>
    </pivotField>
    <pivotField showAll="0">
      <items count="7">
        <item x="1"/>
        <item x="2"/>
        <item x="4"/>
        <item x="3"/>
        <item m="1" x="5"/>
        <item x="0"/>
        <item t="default"/>
      </items>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2"/>
  </colFields>
  <colItems count="5">
    <i>
      <x/>
    </i>
    <i i="1">
      <x v="1"/>
    </i>
    <i i="2">
      <x v="2"/>
    </i>
    <i i="3">
      <x v="3"/>
    </i>
    <i i="4">
      <x v="4"/>
    </i>
  </colItems>
  <dataFields count="5">
    <dataField name="اجمالي المرتبات" fld="11" baseField="0" baseItem="1" numFmtId="168"/>
    <dataField name="متوسط المرتبات" fld="11" subtotal="average" baseField="0" baseItem="1" numFmtId="168"/>
    <dataField name="ادني مرتب" fld="11" subtotal="min" baseField="0" baseItem="2" numFmtId="168"/>
    <dataField name="اقصي مرتب" fld="11" subtotal="max" baseField="0" baseItem="3" numFmtId="168"/>
    <dataField name="عدد الموظفين" fld="0" subtotal="count" baseField="0" baseItem="0"/>
  </dataFields>
  <formats count="1">
    <format dxfId="302">
      <pivotArea outline="0" collapsedLevelsAreSubtotals="1" fieldPosition="0">
        <references count="1">
          <reference field="4294967294" count="4" selected="0">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3E37AA-09BD-48F8-BA0A-A8B575C0D425}"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
  <location ref="H36:J49" firstHeaderRow="1" firstDataRow="1" firstDataCol="2"/>
  <pivotFields count="21">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sortType="descending" defaultSubtotal="0">
      <items count="13">
        <item x="1"/>
        <item x="10"/>
        <item x="11"/>
        <item x="3"/>
        <item x="9"/>
        <item x="7"/>
        <item x="8"/>
        <item x="6"/>
        <item x="4"/>
        <item x="2"/>
        <item x="12"/>
        <item x="0"/>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ubtotalTop="0" showAll="0" sortType="descending" defaultSubtotal="0">
      <items count="6">
        <item x="1"/>
        <item x="2"/>
        <item x="4"/>
        <item x="3"/>
        <item m="1" x="5"/>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81">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s>
      <extLst>
        <ext xmlns:x14="http://schemas.microsoft.com/office/spreadsheetml/2009/9/main" uri="{2946ED86-A175-432a-8AC1-64E0C546D7DE}">
          <x14:pivotField fillDownLabels="1"/>
        </ext>
      </extLst>
    </pivotField>
    <pivotField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26">
        <item x="1"/>
        <item x="2"/>
        <item x="3"/>
        <item x="4"/>
        <item x="5"/>
        <item x="6"/>
        <item x="7"/>
        <item x="8"/>
        <item x="9"/>
        <item x="10"/>
        <item x="11"/>
        <item x="12"/>
        <item x="13"/>
        <item x="14"/>
        <item x="15"/>
        <item x="16"/>
        <item x="17"/>
        <item x="18"/>
        <item x="19"/>
        <item x="20"/>
        <item x="21"/>
        <item x="22"/>
        <item x="23"/>
        <item x="24"/>
        <item x="0"/>
        <item x="25"/>
      </items>
      <extLst>
        <ext xmlns:x14="http://schemas.microsoft.com/office/spreadsheetml/2009/9/main" uri="{2946ED86-A175-432a-8AC1-64E0C546D7DE}">
          <x14:pivotField fillDownLabels="1"/>
        </ext>
      </extLst>
    </pivotField>
  </pivotFields>
  <rowFields count="2">
    <field x="4"/>
    <field x="3"/>
  </rowFields>
  <rowItems count="13">
    <i>
      <x v="5"/>
      <x v="11"/>
    </i>
    <i r="1">
      <x v="10"/>
    </i>
    <i>
      <x v="1"/>
      <x v="9"/>
    </i>
    <i r="1">
      <x v="5"/>
    </i>
    <i r="1">
      <x v="3"/>
    </i>
    <i r="1">
      <x v="4"/>
    </i>
    <i>
      <x v="3"/>
      <x v="8"/>
    </i>
    <i r="1">
      <x v="1"/>
    </i>
    <i r="1">
      <x v="7"/>
    </i>
    <i>
      <x v="2"/>
      <x v="12"/>
    </i>
    <i r="1">
      <x v="6"/>
    </i>
    <i>
      <x/>
      <x/>
    </i>
    <i r="1">
      <x v="2"/>
    </i>
  </rowItems>
  <colItems count="1">
    <i/>
  </colItems>
  <dataFields count="1">
    <dataField name="عدد الموظفين"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C4B6F4-B9C5-44F5-B946-22DD9235921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الموهل الدراسي">
  <location ref="A65:B69"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items count="7">
        <item x="1"/>
        <item x="2"/>
        <item x="4"/>
        <item x="3"/>
        <item m="1" x="5"/>
        <item x="0"/>
        <item t="default"/>
      </items>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0"/>
  </rowFields>
  <rowItems count="4">
    <i>
      <x v="2"/>
    </i>
    <i>
      <x v="1"/>
    </i>
    <i>
      <x/>
    </i>
    <i t="grand">
      <x/>
    </i>
  </rowItems>
  <colItems count="1">
    <i/>
  </colItems>
  <dataFields count="1">
    <dataField name="متوسط المرتبات" fld="11" subtotal="average" baseField="10" baseItem="0" numFmtId="168"/>
  </dataFields>
  <formats count="1">
    <format dxfId="303">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0952E5-157F-4131-B045-E72A4E57C76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القسم">
  <location ref="A14:C20" firstHeaderRow="0"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axis="axisRow" showAll="0" sortType="descending">
      <items count="7">
        <item x="1"/>
        <item x="2"/>
        <item x="4"/>
        <item x="3"/>
        <item m="1" x="5"/>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showAll="0">
      <items count="9">
        <item x="0"/>
        <item x="1"/>
        <item x="2"/>
        <item x="3"/>
        <item x="4"/>
        <item x="5"/>
        <item x="6"/>
        <item x="7"/>
        <item t="default"/>
      </items>
    </pivotField>
    <pivotField showAll="0">
      <items count="4">
        <item x="1"/>
        <item x="0"/>
        <item x="2"/>
        <item t="default"/>
      </items>
    </pivotField>
    <pivotField showAll="0"/>
    <pivotField dataField="1" numFmtId="9" showAll="0"/>
    <pivotField dataField="1"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4"/>
  </rowFields>
  <rowItems count="6">
    <i>
      <x v="3"/>
    </i>
    <i>
      <x v="1"/>
    </i>
    <i>
      <x v="5"/>
    </i>
    <i>
      <x/>
    </i>
    <i>
      <x v="2"/>
    </i>
    <i t="grand">
      <x/>
    </i>
  </rowItems>
  <colFields count="1">
    <field x="-2"/>
  </colFields>
  <colItems count="2">
    <i>
      <x/>
    </i>
    <i i="1">
      <x v="1"/>
    </i>
  </colItems>
  <dataFields count="2">
    <dataField name="متوسط الأداء في 2024" fld="12" subtotal="average" baseField="4" baseItem="0" numFmtId="9"/>
    <dataField name="متوسط الأداء في 2025" fld="13" subtotal="average" baseField="4" baseItem="0" numFmtId="9"/>
  </dataFields>
  <formats count="1">
    <format dxfId="304">
      <pivotArea outline="0" collapsedLevelsAreSubtotals="1" fieldPosition="0"/>
    </format>
  </formats>
  <chartFormats count="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1"/>
          </reference>
          <reference field="4" count="1" selected="0">
            <x v="5"/>
          </reference>
        </references>
      </pivotArea>
    </chartFormat>
    <chartFormat chart="4" format="8">
      <pivotArea type="data" outline="0" fieldPosition="0">
        <references count="2">
          <reference field="4294967294" count="1" selected="0">
            <x v="1"/>
          </reference>
          <reference field="4" count="1" selected="0">
            <x v="0"/>
          </reference>
        </references>
      </pivotArea>
    </chartFormat>
    <chartFormat chart="4" format="9">
      <pivotArea type="data" outline="0" fieldPosition="0">
        <references count="2">
          <reference field="4294967294" count="1" selected="0">
            <x v="1"/>
          </reference>
          <reference field="4" count="1" selected="0">
            <x v="2"/>
          </reference>
        </references>
      </pivotArea>
    </chartFormat>
    <chartFormat chart="4" format="10">
      <pivotArea type="data" outline="0" fieldPosition="0">
        <references count="2">
          <reference field="4294967294" count="1" selected="0">
            <x v="1"/>
          </reference>
          <reference field="4" count="1" selected="0">
            <x v="1"/>
          </reference>
        </references>
      </pivotArea>
    </chartFormat>
    <chartFormat chart="4" format="1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A98EBC-61E8-40B6-B902-4AAB75A5381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F10" firstHeaderRow="0" firstDataRow="1" firstDataCol="0"/>
  <pivotFields count="21">
    <pivotField dataField="1" showAll="0"/>
    <pivotField showAll="0"/>
    <pivotField showAll="0"/>
    <pivotField showAll="0">
      <items count="14">
        <item x="1"/>
        <item x="10"/>
        <item x="11"/>
        <item x="3"/>
        <item x="9"/>
        <item x="7"/>
        <item x="8"/>
        <item x="6"/>
        <item x="4"/>
        <item x="2"/>
        <item x="12"/>
        <item x="0"/>
        <item x="5"/>
        <item t="default"/>
      </items>
    </pivotField>
    <pivotField showAll="0"/>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dataField="1" showAll="0">
      <items count="8">
        <item x="0"/>
        <item x="1"/>
        <item x="2"/>
        <item x="3"/>
        <item x="4"/>
        <item x="5"/>
        <item x="6"/>
        <item t="default"/>
      </items>
    </pivotField>
    <pivotField numFmtId="14" showAll="0"/>
    <pivotField dataField="1" showAll="0">
      <items count="9">
        <item x="0"/>
        <item x="1"/>
        <item x="2"/>
        <item x="3"/>
        <item x="4"/>
        <item x="5"/>
        <item x="6"/>
        <item x="7"/>
        <item t="default"/>
      </items>
    </pivotField>
    <pivotField showAll="0">
      <items count="4">
        <item x="1"/>
        <item x="0"/>
        <item x="2"/>
        <item t="default"/>
      </items>
    </pivotField>
    <pivotField showAll="0"/>
    <pivotField dataField="1" numFmtId="9" showAll="0"/>
    <pivotField dataField="1" numFmtId="9" showAll="0"/>
    <pivotField numFmtId="9" showAll="0"/>
    <pivotField dataField="1"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2"/>
  </colFields>
  <colItems count="6">
    <i>
      <x/>
    </i>
    <i i="1">
      <x v="1"/>
    </i>
    <i i="2">
      <x v="2"/>
    </i>
    <i i="3">
      <x v="3"/>
    </i>
    <i i="4">
      <x v="4"/>
    </i>
    <i i="5">
      <x v="5"/>
    </i>
  </colItems>
  <dataFields count="6">
    <dataField name="متوسط الأداء للموظفين في 2024" fld="12" subtotal="average" baseField="0" baseItem="1" numFmtId="9"/>
    <dataField name="متوسط الأداء للموظفين في 2025" fld="13" subtotal="average" baseField="0" baseItem="1" numFmtId="9"/>
    <dataField name="متوسط التغير في اداء الموظف" fld="15" subtotal="average" baseField="0" baseItem="2" numFmtId="9"/>
    <dataField name="متوسط العمر" fld="9" subtotal="average" baseField="0" baseItem="3" numFmtId="165"/>
    <dataField name="متوسط سنين الخبرة" fld="7" subtotal="average" baseField="0" baseItem="4" numFmtId="165"/>
    <dataField name="عدد الموظفين" fld="0" subtotal="count" baseField="0" baseItem="0"/>
  </dataFields>
  <formats count="2">
    <format dxfId="306">
      <pivotArea outline="0" collapsedLevelsAreSubtotals="1" fieldPosition="0">
        <references count="1">
          <reference field="4294967294" count="1" selected="0">
            <x v="3"/>
          </reference>
        </references>
      </pivotArea>
    </format>
    <format dxfId="30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AAB67C-CD58-47FD-B847-2AB61B70D11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العمر">
  <location ref="D29:E36"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axis="axisRow" showAll="0" sortType="ascending">
      <items count="9">
        <item x="0"/>
        <item x="7"/>
        <item x="1"/>
        <item x="2"/>
        <item x="3"/>
        <item x="4"/>
        <item x="5"/>
        <item x="6"/>
        <item t="default"/>
      </items>
    </pivotField>
    <pivotField showAll="0">
      <items count="4">
        <item x="1"/>
        <item x="0"/>
        <item x="2"/>
        <item t="default"/>
      </items>
    </pivotField>
    <pivotField showAll="0"/>
    <pivotField numFmtId="9" showAll="0"/>
    <pivotField numFmtId="9" showAll="0"/>
    <pivotField dataField="1"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9"/>
  </rowFields>
  <rowItems count="7">
    <i>
      <x v="2"/>
    </i>
    <i>
      <x v="3"/>
    </i>
    <i>
      <x v="4"/>
    </i>
    <i>
      <x v="5"/>
    </i>
    <i>
      <x v="6"/>
    </i>
    <i>
      <x v="7"/>
    </i>
    <i t="grand">
      <x/>
    </i>
  </rowItems>
  <colItems count="1">
    <i/>
  </colItems>
  <dataFields count="1">
    <dataField name=" متوسط الاداء الكلي" fld="14" subtotal="average"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77141F-F4C1-46EB-81E6-F22E1572271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العمر">
  <location ref="D65:E72" firstHeaderRow="1" firstDataRow="1" firstDataCol="1"/>
  <pivotFields count="21">
    <pivotField showAll="0"/>
    <pivotField showAll="0"/>
    <pivotField showAll="0"/>
    <pivotField showAll="0">
      <items count="14">
        <item x="1"/>
        <item x="10"/>
        <item x="11"/>
        <item x="3"/>
        <item x="9"/>
        <item x="7"/>
        <item x="8"/>
        <item x="6"/>
        <item x="4"/>
        <item x="2"/>
        <item x="12"/>
        <item x="0"/>
        <item x="5"/>
        <item t="default"/>
      </items>
    </pivotField>
    <pivotField showAll="0">
      <items count="7">
        <item x="1"/>
        <item x="2"/>
        <item x="4"/>
        <item x="3"/>
        <item m="1" x="5"/>
        <item x="0"/>
        <item t="default"/>
      </items>
    </pivotField>
    <pivotField showAll="0">
      <items count="4">
        <item x="0"/>
        <item x="2"/>
        <item x="1"/>
        <item t="default"/>
      </items>
    </pivotField>
    <pivotField numFmtId="14" showAll="0">
      <items count="82">
        <item x="34"/>
        <item x="76"/>
        <item x="78"/>
        <item x="48"/>
        <item x="38"/>
        <item x="50"/>
        <item x="62"/>
        <item x="72"/>
        <item x="61"/>
        <item x="24"/>
        <item x="68"/>
        <item x="71"/>
        <item x="26"/>
        <item x="55"/>
        <item x="42"/>
        <item x="67"/>
        <item x="70"/>
        <item x="13"/>
        <item x="3"/>
        <item x="80"/>
        <item x="21"/>
        <item x="4"/>
        <item x="43"/>
        <item x="58"/>
        <item x="16"/>
        <item x="57"/>
        <item x="33"/>
        <item x="69"/>
        <item x="37"/>
        <item x="41"/>
        <item x="65"/>
        <item x="64"/>
        <item x="79"/>
        <item x="35"/>
        <item x="66"/>
        <item x="44"/>
        <item x="0"/>
        <item x="60"/>
        <item x="75"/>
        <item x="39"/>
        <item x="1"/>
        <item x="12"/>
        <item x="8"/>
        <item x="59"/>
        <item x="29"/>
        <item x="15"/>
        <item x="54"/>
        <item x="63"/>
        <item x="53"/>
        <item x="31"/>
        <item x="30"/>
        <item x="11"/>
        <item x="18"/>
        <item x="74"/>
        <item x="46"/>
        <item x="51"/>
        <item x="25"/>
        <item x="14"/>
        <item x="23"/>
        <item x="22"/>
        <item x="7"/>
        <item x="5"/>
        <item x="56"/>
        <item x="2"/>
        <item x="27"/>
        <item x="28"/>
        <item x="47"/>
        <item x="36"/>
        <item x="19"/>
        <item x="10"/>
        <item x="17"/>
        <item x="77"/>
        <item x="45"/>
        <item x="52"/>
        <item x="20"/>
        <item x="32"/>
        <item x="49"/>
        <item x="40"/>
        <item x="9"/>
        <item x="73"/>
        <item x="6"/>
        <item t="default"/>
      </items>
    </pivotField>
    <pivotField showAll="0">
      <items count="8">
        <item x="0"/>
        <item x="1"/>
        <item x="2"/>
        <item x="3"/>
        <item x="4"/>
        <item x="5"/>
        <item x="6"/>
        <item t="default"/>
      </items>
    </pivotField>
    <pivotField numFmtId="14" showAll="0"/>
    <pivotField axis="axisRow" showAll="0" sortType="ascending">
      <items count="9">
        <item x="0"/>
        <item x="7"/>
        <item x="1"/>
        <item x="2"/>
        <item x="3"/>
        <item x="4"/>
        <item x="5"/>
        <item x="6"/>
        <item t="default"/>
      </items>
    </pivotField>
    <pivotField showAll="0"/>
    <pivotField dataField="1" showAll="0"/>
    <pivotField numFmtId="9" showAll="0"/>
    <pivotField numFmtId="9" showAll="0"/>
    <pivotField numFmtId="9" showAll="0"/>
    <pivotField numFmtId="9"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9"/>
  </rowFields>
  <rowItems count="7">
    <i>
      <x v="2"/>
    </i>
    <i>
      <x v="3"/>
    </i>
    <i>
      <x v="4"/>
    </i>
    <i>
      <x v="5"/>
    </i>
    <i>
      <x v="6"/>
    </i>
    <i>
      <x v="7"/>
    </i>
    <i t="grand">
      <x/>
    </i>
  </rowItems>
  <colItems count="1">
    <i/>
  </colItems>
  <dataFields count="1">
    <dataField name="متوسط المرتبات" fld="11" subtotal="average" baseField="9" baseItem="0" numFmtId="168"/>
  </dataFields>
  <formats count="1">
    <format dxfId="30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6C8036B5-C783-4E47-AFCD-57E62381CCA0}" autoFormatId="16" applyNumberFormats="0" applyBorderFormats="0" applyFontFormats="0" applyPatternFormats="0" applyAlignmentFormats="0" applyWidthHeightFormats="0">
  <queryTableRefresh nextId="18">
    <queryTableFields count="17">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عدد سنين الخبرة" tableColumnId="8"/>
      <queryTableField id="9" name="تاريخ الميلاد" tableColumnId="9"/>
      <queryTableField id="10" name="العمر" tableColumnId="10"/>
      <queryTableField id="11" name="المؤهل الدراسي" tableColumnId="11"/>
      <queryTableField id="12" name="الراتب" tableColumnId="12"/>
      <queryTableField id="13" name="الاداء في 2024" tableColumnId="13"/>
      <queryTableField id="14" name="الاداء في 2025" tableColumnId="14"/>
      <queryTableField id="15" name="متوسط الاداء الكلي" tableColumnId="15"/>
      <queryTableField id="16" name="التغير في اداء الموظف" tableColumnId="16"/>
      <queryTableField id="17" name="الاسم - الرقم الوظيفي"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AB258CBF-EAC9-47C8-BA4F-33A3A56BB0DD}" sourceName="الوظيفة">
  <pivotTables>
    <pivotTable tabId="15" name="PivotTable3"/>
    <pivotTable tabId="15" name="PivotTable1"/>
    <pivotTable tabId="15" name="PivotTable10"/>
    <pivotTable tabId="15" name="PivotTable5"/>
    <pivotTable tabId="15" name="PivotTable6"/>
    <pivotTable tabId="15" name="PivotTable7"/>
    <pivotTable tabId="15" name="PivotTable9"/>
  </pivotTables>
  <data>
    <tabular pivotCacheId="1534583426">
      <items count="13">
        <i x="1" s="1"/>
        <i x="10" s="1"/>
        <i x="11" s="1"/>
        <i x="3" s="1"/>
        <i x="9" s="1"/>
        <i x="7" s="1"/>
        <i x="8" s="1"/>
        <i x="6" s="1"/>
        <i x="4" s="1"/>
        <i x="2" s="1"/>
        <i x="12"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C507087C-514B-407D-A1DD-9003165B774A}" sourceName="الموقع">
  <pivotTables>
    <pivotTable tabId="15" name="PivotTable3"/>
    <pivotTable tabId="15" name="PivotTable1"/>
    <pivotTable tabId="15" name="PivotTable10"/>
    <pivotTable tabId="15" name="PivotTable5"/>
    <pivotTable tabId="15" name="PivotTable6"/>
    <pivotTable tabId="15" name="PivotTable7"/>
    <pivotTable tabId="15" name="PivotTable9"/>
  </pivotTables>
  <data>
    <tabular pivotCacheId="15345834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ؤهل_الدراسي" xr10:uid="{3584489F-2C2F-4DD2-8920-A8509D9EA0B7}" sourceName="المؤهل الدراسي">
  <pivotTables>
    <pivotTable tabId="15" name="PivotTable3"/>
    <pivotTable tabId="15" name="PivotTable1"/>
    <pivotTable tabId="15" name="PivotTable10"/>
    <pivotTable tabId="15" name="PivotTable5"/>
    <pivotTable tabId="15" name="PivotTable6"/>
    <pivotTable tabId="15" name="PivotTable7"/>
    <pivotTable tabId="15" name="PivotTable9"/>
  </pivotTables>
  <data>
    <tabular pivotCacheId="153458342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1" xr10:uid="{0E0E3EDF-ABC6-4EB6-8E6D-66267E7CC3E0}" sourceName="الوظيفة">
  <pivotTables>
    <pivotTable tabId="15" name="PivotTable15"/>
    <pivotTable tabId="15" name="PivotTable12"/>
    <pivotTable tabId="15" name="PivotTable13"/>
    <pivotTable tabId="15" name="PivotTable14"/>
    <pivotTable tabId="15" name="PivotTable2"/>
    <pivotTable tabId="15" name="PivotTable4"/>
    <pivotTable tabId="15" name="PivotTable8"/>
  </pivotTables>
  <data>
    <tabular pivotCacheId="1534583426">
      <items count="13">
        <i x="1" s="1"/>
        <i x="10" s="1"/>
        <i x="11" s="1"/>
        <i x="3" s="1"/>
        <i x="9" s="1"/>
        <i x="7" s="1"/>
        <i x="8" s="1"/>
        <i x="6" s="1"/>
        <i x="4" s="1"/>
        <i x="2" s="1"/>
        <i x="12"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C2BCE5F9-41CD-41B8-847A-45EB11DCAE44}" sourceName="القسم">
  <pivotTables>
    <pivotTable tabId="15" name="PivotTable15"/>
    <pivotTable tabId="15" name="PivotTable12"/>
    <pivotTable tabId="15" name="PivotTable13"/>
    <pivotTable tabId="15" name="PivotTable14"/>
    <pivotTable tabId="15" name="PivotTable2"/>
    <pivotTable tabId="15" name="PivotTable4"/>
    <pivotTable tabId="15" name="PivotTable8"/>
  </pivotTables>
  <data>
    <tabular pivotCacheId="1534583426">
      <items count="6">
        <i x="1" s="1"/>
        <i x="2" s="1"/>
        <i x="4" s="1"/>
        <i x="3" s="1"/>
        <i x="0" s="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1" xr10:uid="{44CBF1CA-DC79-4743-BB13-E3B314A98DB2}" sourceName="الموقع">
  <pivotTables>
    <pivotTable tabId="15" name="PivotTable15"/>
    <pivotTable tabId="15" name="PivotTable12"/>
    <pivotTable tabId="15" name="PivotTable13"/>
    <pivotTable tabId="15" name="PivotTable14"/>
    <pivotTable tabId="15" name="PivotTable2"/>
    <pivotTable tabId="15" name="PivotTable4"/>
    <pivotTable tabId="15" name="PivotTable8"/>
  </pivotTables>
  <data>
    <tabular pivotCacheId="15345834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xr10:uid="{AE43A05F-B19D-4813-BBD7-9A8277CC25C8}" cache="Slicer_الوظيفة" caption="الوظيفة" style="Slicer Style 1" rowHeight="234950"/>
  <slicer name="الموقع" xr10:uid="{F0D2849B-67A1-493C-9432-5D664882EF6C}" cache="Slicer_الموقع" caption="الموقع" style="Slicer Style 1" rowHeight="234950"/>
  <slicer name="المؤهل الدراسي" xr10:uid="{98D1A702-A257-418E-8DED-329CAF66EB9B}" cache="Slicer_المؤهل_الدراسي" caption="المؤهل الدراسي"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ظيفة 1" xr10:uid="{807A85A3-2A91-4C60-ABDD-0F69B61A3893}" cache="Slicer_الوظيفة1" caption="الوظيفة" style="Slicer Style 1" rowHeight="241300"/>
  <slicer name="القسم" xr10:uid="{65204F6E-9BAF-424F-9E00-A28FC1F6945F}" cache="Slicer_القسم" caption="القسم" style="Slicer Style 1" rowHeight="241300"/>
  <slicer name="الموقع 1" xr10:uid="{A925DE0C-3B6C-462B-966F-D73E679E457D}" cache="Slicer_الموقع1" caption="الموقع" style="Slicer Style 1"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0F9FD3-633B-495C-9FCA-B16A9D2CB8D4}" name="Sales" displayName="Sales" ref="A1:L38" totalsRowShown="0" headerRowDxfId="376">
  <autoFilter ref="A1:L38" xr:uid="{610F9FD3-633B-495C-9FCA-B16A9D2CB8D4}"/>
  <tableColumns count="12">
    <tableColumn id="1" xr3:uid="{6F86A1A7-D756-4A65-B690-020063D3568A}" name="المسلسل"/>
    <tableColumn id="2" xr3:uid="{8F1E8F3D-F11B-4F62-9AA0-0DB9EA0E7F1E}" name="الرقم الوظيفي"/>
    <tableColumn id="3" xr3:uid="{30E38CF4-1554-4A52-AA47-7741AEAEA2A9}" name="اسم الموظف" dataDxfId="375"/>
    <tableColumn id="4" xr3:uid="{A1A853F2-5DA9-4578-B298-C0441E72BB9C}" name="الوظيفة" dataDxfId="374"/>
    <tableColumn id="5" xr3:uid="{283A5A71-CB7E-4B32-9C86-73075AB061D0}" name="القسم" dataDxfId="373"/>
    <tableColumn id="6" xr3:uid="{3AB50C2B-0F39-46CC-988A-9127A79CAACE}" name="الموقع" dataDxfId="372"/>
    <tableColumn id="7" xr3:uid="{6DAB16B5-3635-4F7B-A0A3-475894899445}" name="تاريخ التعيين" dataDxfId="371"/>
    <tableColumn id="8" xr3:uid="{976F3CEA-7AF7-4746-B553-7F6E0320BC91}" name="تاريخ الميلاد" dataDxfId="370"/>
    <tableColumn id="9" xr3:uid="{07D99FFD-6B10-4C68-8359-50191F3AA7A7}" name="المؤهل الدراسي" dataDxfId="369"/>
    <tableColumn id="10" xr3:uid="{30C8F0F2-ED45-4C3C-B382-94736E7987BE}" name="الراتب"/>
    <tableColumn id="11" xr3:uid="{6FAEDDBE-6925-4D6B-A045-511B35CF7732}" name="PER 2019" dataDxfId="368" dataCellStyle="Percent"/>
    <tableColumn id="12" xr3:uid="{53C9B76B-8979-4625-8691-4FDA141D3A58}" name="PER 2020" dataDxfId="367" dataCellStyle="Perc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9E9570-9249-478E-94F5-F468DFD3C0B0}" name="Marketing" displayName="Marketing" ref="A1:L19" totalsRowShown="0" headerRowDxfId="366">
  <autoFilter ref="A1:L19" xr:uid="{6A9E9570-9249-478E-94F5-F468DFD3C0B0}"/>
  <tableColumns count="12">
    <tableColumn id="1" xr3:uid="{A3490901-5BA2-47A1-9904-D482951E7FED}" name="المسلسل"/>
    <tableColumn id="2" xr3:uid="{97FC2A53-03B9-40BA-8261-B3A103973E85}" name="الرقم الوظيفي"/>
    <tableColumn id="3" xr3:uid="{F847B7BC-1D0B-4951-AA7D-C643A3609EC7}" name="اسم الموظف" dataDxfId="365"/>
    <tableColumn id="4" xr3:uid="{18837460-7316-4F21-AF65-C865F46C1A9F}" name="الوظيفة" dataDxfId="364"/>
    <tableColumn id="5" xr3:uid="{EDBD4CAB-6C69-482C-A93A-F4525F5E28EC}" name="القسم" dataDxfId="363"/>
    <tableColumn id="6" xr3:uid="{40076C6E-C58A-49DF-9E7B-62EE9C0CE532}" name="الموقع" dataDxfId="362"/>
    <tableColumn id="7" xr3:uid="{D00690F9-C5AF-4690-BCBB-292C3DF24CE7}" name="تاريخ التعيين" dataDxfId="361"/>
    <tableColumn id="8" xr3:uid="{4355783F-73CB-4489-8AE7-CA8FB5436C01}" name="تاريخ الميلاد" dataDxfId="360"/>
    <tableColumn id="9" xr3:uid="{340467ED-9D71-4266-8566-E6959C5C8A0D}" name="المؤهل الدراسي" dataDxfId="359"/>
    <tableColumn id="10" xr3:uid="{006D94F9-EEA5-4D48-B419-8B35DFF17A42}" name="الراتب"/>
    <tableColumn id="11" xr3:uid="{57BED2C7-6D77-44D6-B496-D403AB839992}" name="PER 2019" dataDxfId="358" dataCellStyle="Percent"/>
    <tableColumn id="12" xr3:uid="{A0049315-4F1E-49E5-A737-305446F58979}" name="PER 2020" dataDxfId="357" dataCellStyle="Percen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023071-3472-42AB-99FC-C6B7633B2EC0}" name="IT" displayName="IT" ref="A1:L13" totalsRowShown="0" headerRowDxfId="356">
  <autoFilter ref="A1:L13" xr:uid="{D1023071-3472-42AB-99FC-C6B7633B2EC0}"/>
  <tableColumns count="12">
    <tableColumn id="1" xr3:uid="{96AE1AB1-552D-48EF-9FCD-59407B5C631E}" name="المسلسل"/>
    <tableColumn id="2" xr3:uid="{0811A134-B81A-48F8-B986-5A9FC783EB04}" name="الرقم الوظيفي"/>
    <tableColumn id="3" xr3:uid="{42E70F35-3EB7-4055-A672-3D70496C0778}" name="اسم الموظف" dataDxfId="355"/>
    <tableColumn id="4" xr3:uid="{4152FE42-DA95-428E-9A12-15D7728924D3}" name="الوظيفة" dataDxfId="354"/>
    <tableColumn id="5" xr3:uid="{C53FFC4D-D909-41E9-9EDC-AD1EB35D5EE7}" name="القسم" dataDxfId="353"/>
    <tableColumn id="6" xr3:uid="{80BF67CB-4AA0-4C71-AE4F-A767D096C157}" name="الموقع" dataDxfId="352"/>
    <tableColumn id="7" xr3:uid="{FF4A4753-BA20-4598-8FE3-4E707726E2A5}" name="تاريخ التعيين" dataDxfId="351"/>
    <tableColumn id="8" xr3:uid="{5476787D-0AE9-42D4-B097-4E03D306895E}" name="تاريخ الميلاد" dataDxfId="350"/>
    <tableColumn id="9" xr3:uid="{239C0088-BE2F-4890-9E22-8ADF04D4F8D8}" name="المؤهل الدراسي" dataDxfId="349"/>
    <tableColumn id="10" xr3:uid="{D0DBC9FA-2870-4E40-A5C8-4E396B5F1A3B}" name="الراتب"/>
    <tableColumn id="11" xr3:uid="{EAB50567-3906-42B0-A00D-32BAA4A41029}" name="PER 2019" dataDxfId="348" dataCellStyle="Percent"/>
    <tableColumn id="12" xr3:uid="{95F62D7A-92A6-466C-A70D-0A5DD472AE35}" name="PER 2020" dataDxfId="347" dataCellStyle="Perc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B5887-F63C-4374-8992-1342E9752515}" name="HR" displayName="HR" ref="A1:L24" totalsRowShown="0" headerRowDxfId="346">
  <autoFilter ref="A1:L24" xr:uid="{C3EB5887-F63C-4374-8992-1342E9752515}"/>
  <tableColumns count="12">
    <tableColumn id="1" xr3:uid="{1D95C3B9-7D85-4C62-9EA3-C3878513D961}" name="المسلسل"/>
    <tableColumn id="2" xr3:uid="{A476C9E8-B4EF-416C-BAA1-20173AAEB955}" name="الرقم الوظيفي"/>
    <tableColumn id="3" xr3:uid="{C5967219-82C3-4561-8342-B8DC8AE85EAB}" name="اسم الموظف" dataDxfId="345"/>
    <tableColumn id="4" xr3:uid="{A34BB24E-0083-4851-875D-D24571F8A004}" name="الوظيفة" dataDxfId="344"/>
    <tableColumn id="5" xr3:uid="{EF0480B0-6CA9-4D31-8D4E-555FE524903A}" name="القسم" dataDxfId="343"/>
    <tableColumn id="6" xr3:uid="{117E44AA-7611-44FF-AD4C-E08E986C97B9}" name="الموقع" dataDxfId="342"/>
    <tableColumn id="7" xr3:uid="{616F88D5-83CC-46B5-BE48-EC7E05663E48}" name="تاريخ التعيين" dataDxfId="341"/>
    <tableColumn id="8" xr3:uid="{E9847729-175F-4EAD-A9EC-CA7A7EA06A99}" name="تاريخ الميلاد" dataDxfId="340"/>
    <tableColumn id="9" xr3:uid="{25E37CF3-7D8A-4399-A325-9C38C0E04728}" name="المؤهل الدراسي" dataDxfId="339"/>
    <tableColumn id="10" xr3:uid="{16287213-A11F-4E5C-A22C-7E1BD4AB406E}" name="الراتب"/>
    <tableColumn id="11" xr3:uid="{2EAE8A5B-294F-4917-BF93-DB4918AC3B8F}" name="PER 2019" dataDxfId="338" dataCellStyle="Percent"/>
    <tableColumn id="12" xr3:uid="{652CA99C-9429-4E8F-BF4D-B1DF2FF5D6F0}" name="PER 2020" dataDxfId="337" dataCellStyle="Perc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1BC92C-35FF-454A-B722-1C297C3BFB14}" name="Finance" displayName="Finance" ref="A1:L11" totalsRowShown="0" headerRowDxfId="336">
  <autoFilter ref="A1:L11" xr:uid="{461BC92C-35FF-454A-B722-1C297C3BFB14}"/>
  <tableColumns count="12">
    <tableColumn id="1" xr3:uid="{5F4F2B33-518C-431F-B212-B40DE01C8CDC}" name="المسلسل"/>
    <tableColumn id="2" xr3:uid="{0A94D101-FEE0-4699-AB21-DF0035587C27}" name="الرقم الوظيفي"/>
    <tableColumn id="3" xr3:uid="{29EA5138-C5C6-4927-BDA2-5FF1366A5EFB}" name="اسم الموظف" dataDxfId="335"/>
    <tableColumn id="4" xr3:uid="{87F47410-E058-43FE-B558-5687CB2E2A55}" name="الوظيفة" dataDxfId="334"/>
    <tableColumn id="5" xr3:uid="{6E815820-AC75-4467-81D7-E1B489D9D482}" name="القسم" dataDxfId="333"/>
    <tableColumn id="6" xr3:uid="{5F2DDE33-EDF1-407D-9FD6-028D8409EBE5}" name="الموقع" dataDxfId="332"/>
    <tableColumn id="7" xr3:uid="{BF7BA9AF-F87A-4279-8C09-FD5F2552D11C}" name="تاريخ التعيين" dataDxfId="331"/>
    <tableColumn id="8" xr3:uid="{5AC62513-AF36-4BBB-B77A-4746728AF9F3}" name="تاريخ الميلاد" dataDxfId="330"/>
    <tableColumn id="9" xr3:uid="{E0896D9B-8B69-4B5F-AA58-57A3A70C15E9}" name="المؤهل الدراسي" dataDxfId="329"/>
    <tableColumn id="10" xr3:uid="{F244C1C5-B8EA-4AB9-9FBF-3BC3F4D50149}" name="الراتب"/>
    <tableColumn id="11" xr3:uid="{73D83A6B-E7B9-4632-A4E0-A74CBF69FB6A}" name="PER 2019" dataDxfId="328" dataCellStyle="Percent"/>
    <tableColumn id="12" xr3:uid="{0B8E9599-0FEC-4441-8163-788FFCD15777}" name="PER 2020" dataDxfId="327" dataCellStyle="Perce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66B6ED7-55E2-495A-96EA-AEE96120C9CF}" name="All" displayName="All" ref="A1:Q101" tableType="queryTable" totalsRowShown="0" headerRowDxfId="326" dataDxfId="325">
  <autoFilter ref="A1:Q101" xr:uid="{A66B6ED7-55E2-495A-96EA-AEE96120C9CF}"/>
  <sortState xmlns:xlrd2="http://schemas.microsoft.com/office/spreadsheetml/2017/richdata2" ref="A2:Q101">
    <sortCondition descending="1" ref="O2:O101"/>
  </sortState>
  <tableColumns count="17">
    <tableColumn id="1" xr3:uid="{B46AD716-2314-4859-BBCB-1A7B25C54FA1}" uniqueName="1" name="المسلسل" queryTableFieldId="1" dataDxfId="324"/>
    <tableColumn id="2" xr3:uid="{172508CB-A361-4A19-9526-49AE1F430658}" uniqueName="2" name="الرقم الوظيفي" queryTableFieldId="2" dataDxfId="323"/>
    <tableColumn id="3" xr3:uid="{262BD0AB-2634-4834-BDAF-6F8B8456E2C1}" uniqueName="3" name="اسم الموظف" queryTableFieldId="3" dataDxfId="322"/>
    <tableColumn id="4" xr3:uid="{425E15CB-013D-4AA9-938B-DBD8728AC26A}" uniqueName="4" name="الوظيفة" queryTableFieldId="4" dataDxfId="321"/>
    <tableColumn id="5" xr3:uid="{62FCD0E6-5201-4ECB-8C83-002FE894C775}" uniqueName="5" name="القسم" queryTableFieldId="5" dataDxfId="320"/>
    <tableColumn id="6" xr3:uid="{77C6CF4A-E9BE-49A5-BBA6-11A5520067DF}" uniqueName="6" name="الموقع" queryTableFieldId="6" dataDxfId="319"/>
    <tableColumn id="7" xr3:uid="{1F7B7085-2E21-4F6B-B6B2-BF697747F49D}" uniqueName="7" name="تاريخ التعيين" queryTableFieldId="7" dataDxfId="318"/>
    <tableColumn id="8" xr3:uid="{E179F48C-007C-4E8B-9A9A-1F4CE6694BFC}" uniqueName="8" name="عدد سنين الخبرة" queryTableFieldId="8" dataDxfId="317"/>
    <tableColumn id="9" xr3:uid="{287EDAF2-2495-42B0-A3B0-76A4CE596B41}" uniqueName="9" name="تاريخ الميلاد" queryTableFieldId="9" dataDxfId="316"/>
    <tableColumn id="10" xr3:uid="{AFA91653-ECEB-4AFA-9FB8-F68EC174F274}" uniqueName="10" name="العمر" queryTableFieldId="10" dataDxfId="315"/>
    <tableColumn id="11" xr3:uid="{113B42E8-50F0-4CF3-8280-DEA9A435C808}" uniqueName="11" name="المؤهل الدراسي" queryTableFieldId="11" dataDxfId="314"/>
    <tableColumn id="12" xr3:uid="{464E289F-9E14-44BC-88BD-4DE9EC10D459}" uniqueName="12" name="الراتب" queryTableFieldId="12" dataDxfId="313"/>
    <tableColumn id="13" xr3:uid="{D3FDCE2E-9936-4DA4-BD06-EC8E1351AB0B}" uniqueName="13" name="الاداء في 2024" queryTableFieldId="13" dataDxfId="312" dataCellStyle="Percent"/>
    <tableColumn id="14" xr3:uid="{9E873173-EC4B-4520-8295-DB947F69D5EA}" uniqueName="14" name="الاداء في 2025" queryTableFieldId="14" dataDxfId="311" dataCellStyle="Percent"/>
    <tableColumn id="15" xr3:uid="{872E0FC5-39CA-48AA-8EBA-8D13458961BB}" uniqueName="15" name="متوسط الاداء الكلي" queryTableFieldId="15" dataDxfId="310" dataCellStyle="Percent"/>
    <tableColumn id="16" xr3:uid="{EE0814C5-3A96-477D-8EA5-FF8C7D3E553A}" uniqueName="16" name="التغير في اداء الموظف" queryTableFieldId="16" dataDxfId="309" dataCellStyle="Percent"/>
    <tableColumn id="17" xr3:uid="{9E5907D8-4325-4460-B8B0-711B2D7743BE}" uniqueName="17" name="الاسم - الرقم الوظيفي" queryTableFieldId="17" dataDxfId="308" dataCellStyle="Perce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0C398-FDD1-4E99-B41A-E231BFE97CE0}">
  <sheetPr>
    <tabColor theme="4"/>
  </sheetPr>
  <dimension ref="A1:L38"/>
  <sheetViews>
    <sheetView showGridLines="0" topLeftCell="C1" workbookViewId="0">
      <selection activeCell="L7" sqref="L7"/>
    </sheetView>
  </sheetViews>
  <sheetFormatPr defaultRowHeight="14.4" x14ac:dyDescent="0.3"/>
  <cols>
    <col min="1" max="1" width="11.6640625" bestFit="1" customWidth="1"/>
    <col min="2" max="2" width="14.5546875" bestFit="1" customWidth="1"/>
    <col min="3" max="3" width="14.33203125" bestFit="1" customWidth="1"/>
    <col min="4" max="4" width="12.6640625" bestFit="1" customWidth="1"/>
    <col min="5" max="6" width="9.6640625" bestFit="1" customWidth="1"/>
    <col min="7" max="8" width="14.6640625" bestFit="1" customWidth="1"/>
    <col min="9" max="9" width="15.6640625" bestFit="1" customWidth="1"/>
    <col min="10" max="10" width="9.5546875" bestFit="1" customWidth="1"/>
    <col min="11" max="12" width="13.109375" style="3" bestFit="1" customWidth="1"/>
    <col min="15" max="15" width="8.88671875" customWidth="1"/>
  </cols>
  <sheetData>
    <row r="1" spans="1:12" x14ac:dyDescent="0.3">
      <c r="A1" s="2" t="s">
        <v>0</v>
      </c>
      <c r="B1" s="2" t="s">
        <v>1</v>
      </c>
      <c r="C1" s="2" t="s">
        <v>2</v>
      </c>
      <c r="D1" s="2" t="s">
        <v>3</v>
      </c>
      <c r="E1" s="2" t="s">
        <v>4</v>
      </c>
      <c r="F1" s="2" t="s">
        <v>5</v>
      </c>
      <c r="G1" s="2" t="s">
        <v>6</v>
      </c>
      <c r="H1" s="2" t="s">
        <v>7</v>
      </c>
      <c r="I1" s="2" t="s">
        <v>8</v>
      </c>
      <c r="J1" s="2" t="s">
        <v>9</v>
      </c>
      <c r="K1" s="3" t="s">
        <v>10</v>
      </c>
      <c r="L1" s="3" t="s">
        <v>11</v>
      </c>
    </row>
    <row r="2" spans="1:12" x14ac:dyDescent="0.3">
      <c r="A2">
        <v>5</v>
      </c>
      <c r="B2">
        <v>27375</v>
      </c>
      <c r="C2" t="s">
        <v>29</v>
      </c>
      <c r="D2" t="s">
        <v>30</v>
      </c>
      <c r="E2" t="s">
        <v>31</v>
      </c>
      <c r="F2" t="s">
        <v>75</v>
      </c>
      <c r="G2" s="1">
        <v>36741</v>
      </c>
      <c r="H2" s="1">
        <v>29281</v>
      </c>
      <c r="I2" t="s">
        <v>16</v>
      </c>
      <c r="J2">
        <v>35000</v>
      </c>
      <c r="K2" s="3">
        <v>0.89</v>
      </c>
      <c r="L2" s="3">
        <v>0.52</v>
      </c>
    </row>
    <row r="3" spans="1:12" x14ac:dyDescent="0.3">
      <c r="A3">
        <v>10</v>
      </c>
      <c r="B3">
        <v>30377</v>
      </c>
      <c r="C3" t="s">
        <v>40</v>
      </c>
      <c r="D3" t="s">
        <v>41</v>
      </c>
      <c r="E3" t="s">
        <v>31</v>
      </c>
      <c r="F3" t="s">
        <v>74</v>
      </c>
      <c r="G3" s="1">
        <v>40362</v>
      </c>
      <c r="H3" s="1">
        <v>25550</v>
      </c>
      <c r="I3" t="s">
        <v>42</v>
      </c>
      <c r="J3">
        <v>17456</v>
      </c>
      <c r="K3" s="3">
        <v>0.87</v>
      </c>
      <c r="L3" s="3">
        <v>0.97</v>
      </c>
    </row>
    <row r="4" spans="1:12" x14ac:dyDescent="0.3">
      <c r="A4">
        <v>11</v>
      </c>
      <c r="B4">
        <v>29369</v>
      </c>
      <c r="C4" t="s">
        <v>43</v>
      </c>
      <c r="D4" t="s">
        <v>41</v>
      </c>
      <c r="E4" t="s">
        <v>31</v>
      </c>
      <c r="F4" t="s">
        <v>74</v>
      </c>
      <c r="G4" s="1">
        <v>42326</v>
      </c>
      <c r="H4" s="1">
        <v>28807</v>
      </c>
      <c r="I4" t="s">
        <v>42</v>
      </c>
      <c r="J4">
        <v>7943</v>
      </c>
      <c r="K4" s="3">
        <v>0.75</v>
      </c>
      <c r="L4" s="3">
        <v>0.7</v>
      </c>
    </row>
    <row r="5" spans="1:12" x14ac:dyDescent="0.3">
      <c r="A5">
        <v>16</v>
      </c>
      <c r="B5">
        <v>27142</v>
      </c>
      <c r="C5" t="s">
        <v>51</v>
      </c>
      <c r="D5" t="s">
        <v>41</v>
      </c>
      <c r="E5" t="s">
        <v>31</v>
      </c>
      <c r="F5" t="s">
        <v>74</v>
      </c>
      <c r="G5" s="1">
        <v>40688</v>
      </c>
      <c r="H5" s="1">
        <v>26102</v>
      </c>
      <c r="I5" t="s">
        <v>42</v>
      </c>
      <c r="J5">
        <v>16613</v>
      </c>
      <c r="K5" s="3">
        <v>0.84</v>
      </c>
      <c r="L5" s="3">
        <v>0.42</v>
      </c>
    </row>
    <row r="6" spans="1:12" x14ac:dyDescent="0.3">
      <c r="A6">
        <v>17</v>
      </c>
      <c r="B6">
        <v>27650</v>
      </c>
      <c r="C6" t="s">
        <v>52</v>
      </c>
      <c r="D6" t="s">
        <v>41</v>
      </c>
      <c r="E6" t="s">
        <v>31</v>
      </c>
      <c r="F6" t="s">
        <v>74</v>
      </c>
      <c r="G6" s="1">
        <v>40726</v>
      </c>
      <c r="H6" s="1">
        <v>29194</v>
      </c>
      <c r="I6" t="s">
        <v>42</v>
      </c>
      <c r="J6">
        <v>6329</v>
      </c>
      <c r="K6" s="3">
        <v>0.81</v>
      </c>
      <c r="L6" s="3">
        <v>0.71</v>
      </c>
    </row>
    <row r="7" spans="1:12" x14ac:dyDescent="0.3">
      <c r="A7">
        <v>18</v>
      </c>
      <c r="B7">
        <v>25906</v>
      </c>
      <c r="C7" t="s">
        <v>53</v>
      </c>
      <c r="D7" t="s">
        <v>41</v>
      </c>
      <c r="E7" t="s">
        <v>31</v>
      </c>
      <c r="F7" t="s">
        <v>75</v>
      </c>
      <c r="G7" s="1">
        <v>41498</v>
      </c>
      <c r="H7" s="1">
        <v>29664</v>
      </c>
      <c r="I7" t="s">
        <v>42</v>
      </c>
      <c r="J7">
        <v>17215</v>
      </c>
      <c r="K7" s="3">
        <v>0.8</v>
      </c>
      <c r="L7" s="3">
        <v>0.87</v>
      </c>
    </row>
    <row r="8" spans="1:12" x14ac:dyDescent="0.3">
      <c r="A8">
        <v>19</v>
      </c>
      <c r="B8">
        <v>26439</v>
      </c>
      <c r="C8" t="s">
        <v>54</v>
      </c>
      <c r="D8" t="s">
        <v>41</v>
      </c>
      <c r="E8" t="s">
        <v>31</v>
      </c>
      <c r="F8" t="s">
        <v>24</v>
      </c>
      <c r="G8" s="1">
        <v>41905</v>
      </c>
      <c r="H8" s="1">
        <v>25213</v>
      </c>
      <c r="I8" t="s">
        <v>42</v>
      </c>
      <c r="J8">
        <v>4799</v>
      </c>
      <c r="K8" s="3">
        <v>0.86</v>
      </c>
      <c r="L8" s="3">
        <v>0.64</v>
      </c>
    </row>
    <row r="9" spans="1:12" x14ac:dyDescent="0.3">
      <c r="A9">
        <v>20</v>
      </c>
      <c r="B9">
        <v>26438</v>
      </c>
      <c r="C9" t="s">
        <v>55</v>
      </c>
      <c r="D9" t="s">
        <v>41</v>
      </c>
      <c r="E9" t="s">
        <v>31</v>
      </c>
      <c r="F9" t="s">
        <v>24</v>
      </c>
      <c r="G9" s="1">
        <v>41923</v>
      </c>
      <c r="H9" s="1">
        <v>25210</v>
      </c>
      <c r="I9" t="s">
        <v>42</v>
      </c>
      <c r="J9">
        <v>18547</v>
      </c>
      <c r="K9" s="3">
        <v>0.82</v>
      </c>
      <c r="L9" s="3">
        <v>0.65</v>
      </c>
    </row>
    <row r="10" spans="1:12" x14ac:dyDescent="0.3">
      <c r="A10">
        <v>21</v>
      </c>
      <c r="B10">
        <v>31456</v>
      </c>
      <c r="C10" t="s">
        <v>56</v>
      </c>
      <c r="D10" t="s">
        <v>41</v>
      </c>
      <c r="E10" t="s">
        <v>31</v>
      </c>
      <c r="F10" t="s">
        <v>74</v>
      </c>
      <c r="G10" s="1">
        <v>42105</v>
      </c>
      <c r="H10" s="1">
        <v>23312</v>
      </c>
      <c r="I10" t="s">
        <v>42</v>
      </c>
      <c r="J10">
        <v>4649</v>
      </c>
      <c r="K10" s="3">
        <v>0.75</v>
      </c>
      <c r="L10" s="3">
        <v>0.78</v>
      </c>
    </row>
    <row r="11" spans="1:12" x14ac:dyDescent="0.3">
      <c r="A11">
        <v>22</v>
      </c>
      <c r="B11">
        <v>27141</v>
      </c>
      <c r="C11" t="s">
        <v>57</v>
      </c>
      <c r="D11" t="s">
        <v>41</v>
      </c>
      <c r="E11" t="s">
        <v>31</v>
      </c>
      <c r="F11" t="s">
        <v>75</v>
      </c>
      <c r="G11" s="1">
        <v>42105</v>
      </c>
      <c r="H11" s="1">
        <v>30808</v>
      </c>
      <c r="I11" t="s">
        <v>42</v>
      </c>
      <c r="J11">
        <v>15173</v>
      </c>
      <c r="K11" s="3">
        <v>0.85</v>
      </c>
      <c r="L11" s="3">
        <v>0.96</v>
      </c>
    </row>
    <row r="12" spans="1:12" x14ac:dyDescent="0.3">
      <c r="A12">
        <v>23</v>
      </c>
      <c r="B12">
        <v>26448</v>
      </c>
      <c r="C12" t="s">
        <v>58</v>
      </c>
      <c r="D12" t="s">
        <v>41</v>
      </c>
      <c r="E12" t="s">
        <v>31</v>
      </c>
      <c r="F12" t="s">
        <v>75</v>
      </c>
      <c r="G12" s="1">
        <v>42469</v>
      </c>
      <c r="H12" s="1">
        <v>30487</v>
      </c>
      <c r="I12" t="s">
        <v>42</v>
      </c>
      <c r="J12">
        <v>18240</v>
      </c>
      <c r="K12" s="3">
        <v>0.89</v>
      </c>
      <c r="L12" s="3">
        <v>0.61</v>
      </c>
    </row>
    <row r="13" spans="1:12" x14ac:dyDescent="0.3">
      <c r="A13">
        <v>31</v>
      </c>
      <c r="B13">
        <v>26437</v>
      </c>
      <c r="C13" t="s">
        <v>66</v>
      </c>
      <c r="D13" t="s">
        <v>41</v>
      </c>
      <c r="E13" t="s">
        <v>31</v>
      </c>
      <c r="F13" t="s">
        <v>75</v>
      </c>
      <c r="G13" s="1">
        <v>41923</v>
      </c>
      <c r="H13" s="1">
        <v>27988</v>
      </c>
      <c r="I13" t="s">
        <v>42</v>
      </c>
      <c r="J13">
        <v>3445</v>
      </c>
      <c r="K13" s="3">
        <v>0.78</v>
      </c>
      <c r="L13" s="3">
        <v>0.65</v>
      </c>
    </row>
    <row r="14" spans="1:12" x14ac:dyDescent="0.3">
      <c r="A14">
        <v>32</v>
      </c>
      <c r="B14">
        <v>27960</v>
      </c>
      <c r="C14" t="s">
        <v>67</v>
      </c>
      <c r="D14" t="s">
        <v>41</v>
      </c>
      <c r="E14" t="s">
        <v>31</v>
      </c>
      <c r="F14" t="s">
        <v>74</v>
      </c>
      <c r="G14" s="1">
        <v>42417</v>
      </c>
      <c r="H14" s="1">
        <v>23641</v>
      </c>
      <c r="I14" t="s">
        <v>42</v>
      </c>
      <c r="J14">
        <v>13889</v>
      </c>
      <c r="K14" s="3">
        <v>0.85</v>
      </c>
      <c r="L14" s="3">
        <v>0.61</v>
      </c>
    </row>
    <row r="15" spans="1:12" x14ac:dyDescent="0.3">
      <c r="A15">
        <v>37</v>
      </c>
      <c r="B15">
        <v>27003</v>
      </c>
      <c r="C15" t="s">
        <v>72</v>
      </c>
      <c r="D15" t="s">
        <v>41</v>
      </c>
      <c r="E15" t="s">
        <v>31</v>
      </c>
      <c r="F15" t="s">
        <v>75</v>
      </c>
      <c r="G15" s="1">
        <v>43121</v>
      </c>
      <c r="H15" s="1">
        <v>29256</v>
      </c>
      <c r="I15" t="s">
        <v>42</v>
      </c>
      <c r="J15">
        <v>23467</v>
      </c>
      <c r="K15" s="3">
        <v>0.79</v>
      </c>
      <c r="L15" s="3">
        <v>0.95</v>
      </c>
    </row>
    <row r="16" spans="1:12" x14ac:dyDescent="0.3">
      <c r="A16">
        <v>38</v>
      </c>
      <c r="B16">
        <v>26440</v>
      </c>
      <c r="C16" t="s">
        <v>73</v>
      </c>
      <c r="D16" t="s">
        <v>41</v>
      </c>
      <c r="E16" t="s">
        <v>31</v>
      </c>
      <c r="F16" t="s">
        <v>74</v>
      </c>
      <c r="G16" s="1">
        <v>43121</v>
      </c>
      <c r="H16" s="1">
        <v>28364</v>
      </c>
      <c r="I16" t="s">
        <v>42</v>
      </c>
      <c r="J16">
        <v>2486</v>
      </c>
      <c r="K16" s="3">
        <v>0.83</v>
      </c>
      <c r="L16" s="3">
        <v>0.67</v>
      </c>
    </row>
    <row r="17" spans="1:12" x14ac:dyDescent="0.3">
      <c r="A17">
        <v>39</v>
      </c>
      <c r="B17">
        <v>26433</v>
      </c>
      <c r="C17" t="s">
        <v>12</v>
      </c>
      <c r="D17" t="s">
        <v>41</v>
      </c>
      <c r="E17" t="s">
        <v>31</v>
      </c>
      <c r="F17" t="s">
        <v>74</v>
      </c>
      <c r="G17" s="1">
        <v>43121</v>
      </c>
      <c r="H17" s="1">
        <v>23497</v>
      </c>
      <c r="I17" t="s">
        <v>42</v>
      </c>
      <c r="J17">
        <v>9365</v>
      </c>
      <c r="K17" s="3">
        <v>0.84</v>
      </c>
      <c r="L17" s="3">
        <v>0.4</v>
      </c>
    </row>
    <row r="18" spans="1:12" x14ac:dyDescent="0.3">
      <c r="A18">
        <v>40</v>
      </c>
      <c r="B18">
        <v>31457</v>
      </c>
      <c r="C18" t="s">
        <v>21</v>
      </c>
      <c r="D18" t="s">
        <v>41</v>
      </c>
      <c r="E18" t="s">
        <v>31</v>
      </c>
      <c r="F18" t="s">
        <v>75</v>
      </c>
      <c r="G18" s="1">
        <v>36312</v>
      </c>
      <c r="H18" s="1">
        <v>23532</v>
      </c>
      <c r="I18" t="s">
        <v>42</v>
      </c>
      <c r="J18">
        <v>22438</v>
      </c>
      <c r="K18" s="3">
        <v>0.82</v>
      </c>
      <c r="L18" s="3">
        <v>0.56999999999999995</v>
      </c>
    </row>
    <row r="19" spans="1:12" x14ac:dyDescent="0.3">
      <c r="A19">
        <v>41</v>
      </c>
      <c r="B19">
        <v>27648</v>
      </c>
      <c r="C19" t="s">
        <v>25</v>
      </c>
      <c r="D19" t="s">
        <v>41</v>
      </c>
      <c r="E19" t="s">
        <v>31</v>
      </c>
      <c r="F19" t="s">
        <v>75</v>
      </c>
      <c r="G19" s="1">
        <v>38115</v>
      </c>
      <c r="H19" s="1">
        <v>32743</v>
      </c>
      <c r="I19" t="s">
        <v>42</v>
      </c>
      <c r="J19">
        <v>20869</v>
      </c>
      <c r="K19" s="3">
        <v>0.77</v>
      </c>
      <c r="L19" s="3">
        <v>0.41</v>
      </c>
    </row>
    <row r="20" spans="1:12" x14ac:dyDescent="0.3">
      <c r="A20">
        <v>42</v>
      </c>
      <c r="B20">
        <v>27858</v>
      </c>
      <c r="C20" t="s">
        <v>29</v>
      </c>
      <c r="D20" t="s">
        <v>41</v>
      </c>
      <c r="E20" t="s">
        <v>31</v>
      </c>
      <c r="F20" t="s">
        <v>74</v>
      </c>
      <c r="G20" s="1">
        <v>40850</v>
      </c>
      <c r="H20" s="1">
        <v>28621</v>
      </c>
      <c r="I20" t="s">
        <v>42</v>
      </c>
      <c r="J20">
        <v>1428</v>
      </c>
      <c r="K20" s="3">
        <v>0.87</v>
      </c>
      <c r="L20" s="3">
        <v>0.96</v>
      </c>
    </row>
    <row r="21" spans="1:12" x14ac:dyDescent="0.3">
      <c r="A21">
        <v>43</v>
      </c>
      <c r="B21">
        <v>26444</v>
      </c>
      <c r="C21" t="s">
        <v>32</v>
      </c>
      <c r="D21" t="s">
        <v>41</v>
      </c>
      <c r="E21" t="s">
        <v>31</v>
      </c>
      <c r="F21" t="s">
        <v>75</v>
      </c>
      <c r="G21" s="1">
        <v>35868</v>
      </c>
      <c r="H21" s="1">
        <v>28782</v>
      </c>
      <c r="I21" t="s">
        <v>42</v>
      </c>
      <c r="J21">
        <v>16767</v>
      </c>
      <c r="K21" s="3">
        <v>0.84</v>
      </c>
      <c r="L21" s="3">
        <v>0.69</v>
      </c>
    </row>
    <row r="22" spans="1:12" x14ac:dyDescent="0.3">
      <c r="A22">
        <v>51</v>
      </c>
      <c r="B22">
        <v>28126</v>
      </c>
      <c r="C22" t="s">
        <v>49</v>
      </c>
      <c r="D22" t="s">
        <v>41</v>
      </c>
      <c r="E22" t="s">
        <v>31</v>
      </c>
      <c r="F22" t="s">
        <v>75</v>
      </c>
      <c r="G22" s="1">
        <v>38930</v>
      </c>
      <c r="H22" s="1">
        <v>28166</v>
      </c>
      <c r="I22" t="s">
        <v>42</v>
      </c>
      <c r="J22">
        <v>12122</v>
      </c>
      <c r="K22" s="3">
        <v>0.76</v>
      </c>
      <c r="L22" s="3">
        <v>0.67</v>
      </c>
    </row>
    <row r="23" spans="1:12" x14ac:dyDescent="0.3">
      <c r="A23">
        <v>52</v>
      </c>
      <c r="B23">
        <v>26413</v>
      </c>
      <c r="C23" t="s">
        <v>51</v>
      </c>
      <c r="D23" t="s">
        <v>41</v>
      </c>
      <c r="E23" t="s">
        <v>31</v>
      </c>
      <c r="F23" t="s">
        <v>74</v>
      </c>
      <c r="G23" s="1">
        <v>39144</v>
      </c>
      <c r="H23" s="1">
        <v>25356</v>
      </c>
      <c r="I23" t="s">
        <v>42</v>
      </c>
      <c r="J23">
        <v>24004</v>
      </c>
      <c r="K23" s="3">
        <v>0.81</v>
      </c>
      <c r="L23" s="3">
        <v>0.77</v>
      </c>
    </row>
    <row r="24" spans="1:12" x14ac:dyDescent="0.3">
      <c r="A24">
        <v>59</v>
      </c>
      <c r="B24">
        <v>26347</v>
      </c>
      <c r="C24" t="s">
        <v>58</v>
      </c>
      <c r="D24" t="s">
        <v>41</v>
      </c>
      <c r="E24" t="s">
        <v>31</v>
      </c>
      <c r="F24" t="s">
        <v>74</v>
      </c>
      <c r="G24" s="1">
        <v>42576</v>
      </c>
      <c r="H24" s="1">
        <v>32599</v>
      </c>
      <c r="I24" t="s">
        <v>42</v>
      </c>
      <c r="J24">
        <v>7329</v>
      </c>
      <c r="K24" s="3">
        <v>0.86</v>
      </c>
      <c r="L24" s="3">
        <v>0.61</v>
      </c>
    </row>
    <row r="25" spans="1:12" x14ac:dyDescent="0.3">
      <c r="A25">
        <v>60</v>
      </c>
      <c r="B25">
        <v>26430</v>
      </c>
      <c r="C25" t="s">
        <v>60</v>
      </c>
      <c r="D25" t="s">
        <v>41</v>
      </c>
      <c r="E25" t="s">
        <v>31</v>
      </c>
      <c r="F25" t="s">
        <v>74</v>
      </c>
      <c r="G25" s="1">
        <v>41951</v>
      </c>
      <c r="H25" s="1">
        <v>25803</v>
      </c>
      <c r="I25" t="s">
        <v>42</v>
      </c>
      <c r="J25">
        <v>20603</v>
      </c>
      <c r="K25" s="3">
        <v>0.88</v>
      </c>
      <c r="L25" s="3">
        <v>0.76</v>
      </c>
    </row>
    <row r="26" spans="1:12" x14ac:dyDescent="0.3">
      <c r="A26">
        <v>72</v>
      </c>
      <c r="B26">
        <v>26991</v>
      </c>
      <c r="C26" t="s">
        <v>73</v>
      </c>
      <c r="D26" t="s">
        <v>41</v>
      </c>
      <c r="E26" t="s">
        <v>31</v>
      </c>
      <c r="F26" t="s">
        <v>75</v>
      </c>
      <c r="G26" s="1">
        <v>40952</v>
      </c>
      <c r="H26" s="1">
        <v>29256</v>
      </c>
      <c r="I26" t="s">
        <v>42</v>
      </c>
      <c r="J26">
        <v>18091</v>
      </c>
      <c r="K26" s="3">
        <v>0.84</v>
      </c>
      <c r="L26" s="3">
        <v>0.91</v>
      </c>
    </row>
    <row r="27" spans="1:12" x14ac:dyDescent="0.3">
      <c r="A27">
        <v>73</v>
      </c>
      <c r="B27">
        <v>27618</v>
      </c>
      <c r="C27" t="s">
        <v>12</v>
      </c>
      <c r="D27" t="s">
        <v>41</v>
      </c>
      <c r="E27" t="s">
        <v>31</v>
      </c>
      <c r="F27" t="s">
        <v>75</v>
      </c>
      <c r="G27" s="1">
        <v>42036</v>
      </c>
      <c r="H27" s="1">
        <v>26362</v>
      </c>
      <c r="I27" t="s">
        <v>42</v>
      </c>
      <c r="J27">
        <v>21390</v>
      </c>
      <c r="K27" s="3">
        <v>0.76</v>
      </c>
      <c r="L27" s="3">
        <v>0.89</v>
      </c>
    </row>
    <row r="28" spans="1:12" x14ac:dyDescent="0.3">
      <c r="A28">
        <v>78</v>
      </c>
      <c r="B28">
        <v>28166</v>
      </c>
      <c r="C28" t="s">
        <v>36</v>
      </c>
      <c r="D28" t="s">
        <v>41</v>
      </c>
      <c r="E28" t="s">
        <v>31</v>
      </c>
      <c r="F28" t="s">
        <v>74</v>
      </c>
      <c r="G28" s="1">
        <v>42476</v>
      </c>
      <c r="H28" s="1">
        <v>30536</v>
      </c>
      <c r="I28" t="s">
        <v>42</v>
      </c>
      <c r="J28">
        <v>13943</v>
      </c>
      <c r="K28" s="3">
        <v>0.78</v>
      </c>
      <c r="L28" s="3">
        <v>0.78</v>
      </c>
    </row>
    <row r="29" spans="1:12" x14ac:dyDescent="0.3">
      <c r="A29">
        <v>79</v>
      </c>
      <c r="B29">
        <v>27004</v>
      </c>
      <c r="C29" t="s">
        <v>38</v>
      </c>
      <c r="D29" t="s">
        <v>41</v>
      </c>
      <c r="E29" t="s">
        <v>31</v>
      </c>
      <c r="F29" t="s">
        <v>74</v>
      </c>
      <c r="G29" s="1">
        <v>35217</v>
      </c>
      <c r="H29" s="1">
        <v>28157</v>
      </c>
      <c r="I29" t="s">
        <v>42</v>
      </c>
      <c r="J29">
        <v>9011</v>
      </c>
      <c r="K29" s="3">
        <v>0.79</v>
      </c>
      <c r="L29" s="3">
        <v>0.46</v>
      </c>
    </row>
    <row r="30" spans="1:12" x14ac:dyDescent="0.3">
      <c r="A30">
        <v>80</v>
      </c>
      <c r="B30">
        <v>27649</v>
      </c>
      <c r="C30" t="s">
        <v>40</v>
      </c>
      <c r="D30" t="s">
        <v>41</v>
      </c>
      <c r="E30" t="s">
        <v>31</v>
      </c>
      <c r="F30" t="s">
        <v>74</v>
      </c>
      <c r="G30" s="1">
        <v>35389</v>
      </c>
      <c r="H30" s="1">
        <v>28970</v>
      </c>
      <c r="I30" t="s">
        <v>42</v>
      </c>
      <c r="J30">
        <v>5390</v>
      </c>
      <c r="K30" s="3">
        <v>0.81</v>
      </c>
      <c r="L30" s="3">
        <v>0.4</v>
      </c>
    </row>
    <row r="31" spans="1:12" x14ac:dyDescent="0.3">
      <c r="A31">
        <v>81</v>
      </c>
      <c r="B31">
        <v>26998</v>
      </c>
      <c r="C31" t="s">
        <v>43</v>
      </c>
      <c r="D31" t="s">
        <v>41</v>
      </c>
      <c r="E31" t="s">
        <v>31</v>
      </c>
      <c r="F31" t="s">
        <v>74</v>
      </c>
      <c r="G31" s="1">
        <v>35966</v>
      </c>
      <c r="H31" s="1">
        <v>27774</v>
      </c>
      <c r="I31" t="s">
        <v>42</v>
      </c>
      <c r="J31">
        <v>19015</v>
      </c>
      <c r="K31" s="3">
        <v>0.84</v>
      </c>
      <c r="L31" s="3">
        <v>0.65</v>
      </c>
    </row>
    <row r="32" spans="1:12" x14ac:dyDescent="0.3">
      <c r="A32">
        <v>82</v>
      </c>
      <c r="B32">
        <v>31455</v>
      </c>
      <c r="C32" t="s">
        <v>44</v>
      </c>
      <c r="D32" t="s">
        <v>41</v>
      </c>
      <c r="E32" t="s">
        <v>31</v>
      </c>
      <c r="F32" t="s">
        <v>24</v>
      </c>
      <c r="G32" s="1">
        <v>36904</v>
      </c>
      <c r="H32" s="1">
        <v>29124</v>
      </c>
      <c r="I32" t="s">
        <v>42</v>
      </c>
      <c r="J32">
        <v>8138</v>
      </c>
      <c r="K32" s="3">
        <v>0.82</v>
      </c>
      <c r="L32" s="3">
        <v>0.83</v>
      </c>
    </row>
    <row r="33" spans="1:12" x14ac:dyDescent="0.3">
      <c r="A33">
        <v>89</v>
      </c>
      <c r="B33">
        <v>26425</v>
      </c>
      <c r="C33" t="s">
        <v>54</v>
      </c>
      <c r="D33" t="s">
        <v>41</v>
      </c>
      <c r="E33" t="s">
        <v>31</v>
      </c>
      <c r="F33" t="s">
        <v>24</v>
      </c>
      <c r="G33" s="1">
        <v>41191</v>
      </c>
      <c r="H33" s="1">
        <v>26439</v>
      </c>
      <c r="I33" t="s">
        <v>42</v>
      </c>
      <c r="J33">
        <v>5061</v>
      </c>
      <c r="K33" s="3">
        <v>0.75</v>
      </c>
      <c r="L33" s="3">
        <v>0.67</v>
      </c>
    </row>
    <row r="34" spans="1:12" x14ac:dyDescent="0.3">
      <c r="A34">
        <v>90</v>
      </c>
      <c r="B34">
        <v>26421</v>
      </c>
      <c r="C34" t="s">
        <v>55</v>
      </c>
      <c r="D34" t="s">
        <v>41</v>
      </c>
      <c r="E34" t="s">
        <v>31</v>
      </c>
      <c r="F34" t="s">
        <v>75</v>
      </c>
      <c r="G34" s="1">
        <v>41378</v>
      </c>
      <c r="H34" s="1">
        <v>26992</v>
      </c>
      <c r="I34" t="s">
        <v>42</v>
      </c>
      <c r="J34">
        <v>8005</v>
      </c>
      <c r="K34" s="3">
        <v>0.85</v>
      </c>
      <c r="L34" s="3">
        <v>0.75</v>
      </c>
    </row>
    <row r="35" spans="1:12" x14ac:dyDescent="0.3">
      <c r="A35">
        <v>91</v>
      </c>
      <c r="B35">
        <v>26419</v>
      </c>
      <c r="C35" t="s">
        <v>56</v>
      </c>
      <c r="D35" t="s">
        <v>41</v>
      </c>
      <c r="E35" t="s">
        <v>31</v>
      </c>
      <c r="F35" t="s">
        <v>74</v>
      </c>
      <c r="G35" s="1">
        <v>41594</v>
      </c>
      <c r="H35" s="1">
        <v>25655</v>
      </c>
      <c r="I35" t="s">
        <v>42</v>
      </c>
      <c r="J35">
        <v>7002</v>
      </c>
      <c r="K35" s="3">
        <v>0.87</v>
      </c>
      <c r="L35" s="3">
        <v>0.6</v>
      </c>
    </row>
    <row r="36" spans="1:12" x14ac:dyDescent="0.3">
      <c r="A36">
        <v>92</v>
      </c>
      <c r="B36">
        <v>28927</v>
      </c>
      <c r="C36" t="s">
        <v>57</v>
      </c>
      <c r="D36" t="s">
        <v>41</v>
      </c>
      <c r="E36" t="s">
        <v>31</v>
      </c>
      <c r="F36" t="s">
        <v>75</v>
      </c>
      <c r="G36" s="1">
        <v>41730</v>
      </c>
      <c r="H36" s="1">
        <v>25254</v>
      </c>
      <c r="I36" t="s">
        <v>42</v>
      </c>
      <c r="J36">
        <v>23284</v>
      </c>
      <c r="K36" s="3">
        <v>0.75</v>
      </c>
      <c r="L36" s="3">
        <v>0.84</v>
      </c>
    </row>
    <row r="37" spans="1:12" x14ac:dyDescent="0.3">
      <c r="A37">
        <v>93</v>
      </c>
      <c r="B37">
        <v>26748</v>
      </c>
      <c r="C37" t="s">
        <v>58</v>
      </c>
      <c r="D37" t="s">
        <v>41</v>
      </c>
      <c r="E37" t="s">
        <v>31</v>
      </c>
      <c r="F37" t="s">
        <v>75</v>
      </c>
      <c r="G37" s="1">
        <v>41771</v>
      </c>
      <c r="H37" s="1">
        <v>29985</v>
      </c>
      <c r="I37" t="s">
        <v>42</v>
      </c>
      <c r="J37">
        <v>20019</v>
      </c>
      <c r="K37" s="3">
        <v>0.89</v>
      </c>
      <c r="L37" s="3">
        <v>0.78</v>
      </c>
    </row>
    <row r="38" spans="1:12" x14ac:dyDescent="0.3">
      <c r="A38">
        <v>94</v>
      </c>
      <c r="B38">
        <v>27494</v>
      </c>
      <c r="C38" t="s">
        <v>60</v>
      </c>
      <c r="D38" t="s">
        <v>41</v>
      </c>
      <c r="E38" t="s">
        <v>31</v>
      </c>
      <c r="F38" t="s">
        <v>74</v>
      </c>
      <c r="G38" s="1">
        <v>41771</v>
      </c>
      <c r="H38" s="1">
        <v>28792</v>
      </c>
      <c r="I38" t="s">
        <v>42</v>
      </c>
      <c r="J38">
        <v>11645</v>
      </c>
      <c r="K38" s="3">
        <v>0.8</v>
      </c>
      <c r="L38" s="3">
        <v>0.62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C86E-F031-4519-A464-FB736871ED17}">
  <sheetPr>
    <tabColor theme="4"/>
  </sheetPr>
  <dimension ref="A1:L19"/>
  <sheetViews>
    <sheetView showGridLines="0" workbookViewId="0"/>
  </sheetViews>
  <sheetFormatPr defaultRowHeight="14.4" x14ac:dyDescent="0.3"/>
  <cols>
    <col min="1" max="1" width="11.6640625" bestFit="1" customWidth="1"/>
    <col min="2" max="2" width="14.5546875" bestFit="1" customWidth="1"/>
    <col min="3" max="3" width="14.33203125" bestFit="1" customWidth="1"/>
    <col min="4" max="4" width="27.5546875" bestFit="1" customWidth="1"/>
    <col min="5" max="6" width="9.6640625" bestFit="1" customWidth="1"/>
    <col min="7" max="8" width="14.6640625" bestFit="1" customWidth="1"/>
    <col min="9" max="9" width="15.6640625" bestFit="1" customWidth="1"/>
    <col min="10" max="10" width="9.5546875" bestFit="1" customWidth="1"/>
    <col min="11" max="12" width="13.109375" style="3" bestFit="1" customWidth="1"/>
  </cols>
  <sheetData>
    <row r="1" spans="1:12" x14ac:dyDescent="0.3">
      <c r="A1" s="2" t="s">
        <v>0</v>
      </c>
      <c r="B1" s="2" t="s">
        <v>1</v>
      </c>
      <c r="C1" s="2" t="s">
        <v>2</v>
      </c>
      <c r="D1" s="2" t="s">
        <v>3</v>
      </c>
      <c r="E1" s="2" t="s">
        <v>4</v>
      </c>
      <c r="F1" s="2" t="s">
        <v>5</v>
      </c>
      <c r="G1" s="2" t="s">
        <v>6</v>
      </c>
      <c r="H1" s="2" t="s">
        <v>7</v>
      </c>
      <c r="I1" s="2" t="s">
        <v>8</v>
      </c>
      <c r="J1" s="2" t="s">
        <v>9</v>
      </c>
      <c r="K1" s="3" t="s">
        <v>10</v>
      </c>
      <c r="L1" s="3" t="s">
        <v>11</v>
      </c>
    </row>
    <row r="2" spans="1:12" x14ac:dyDescent="0.3">
      <c r="A2">
        <v>2</v>
      </c>
      <c r="B2">
        <v>28127</v>
      </c>
      <c r="C2" t="s">
        <v>17</v>
      </c>
      <c r="D2" t="s">
        <v>18</v>
      </c>
      <c r="E2" t="s">
        <v>19</v>
      </c>
      <c r="F2" t="s">
        <v>15</v>
      </c>
      <c r="G2" s="1">
        <v>40919</v>
      </c>
      <c r="H2" s="1">
        <v>23989</v>
      </c>
      <c r="I2" t="s">
        <v>20</v>
      </c>
      <c r="J2">
        <v>21575</v>
      </c>
      <c r="K2" s="3">
        <v>0.86</v>
      </c>
      <c r="L2" s="3">
        <v>0.87</v>
      </c>
    </row>
    <row r="3" spans="1:12" x14ac:dyDescent="0.3">
      <c r="A3">
        <v>14</v>
      </c>
      <c r="B3">
        <v>26422</v>
      </c>
      <c r="C3" t="s">
        <v>47</v>
      </c>
      <c r="D3" t="s">
        <v>48</v>
      </c>
      <c r="E3" t="s">
        <v>19</v>
      </c>
      <c r="F3" t="s">
        <v>28</v>
      </c>
      <c r="G3" s="1">
        <v>38398</v>
      </c>
      <c r="H3" s="1">
        <v>23333</v>
      </c>
      <c r="I3" t="s">
        <v>16</v>
      </c>
      <c r="J3">
        <v>19023</v>
      </c>
      <c r="K3" s="3">
        <v>0.78</v>
      </c>
      <c r="L3" s="3">
        <v>0.89</v>
      </c>
    </row>
    <row r="4" spans="1:12" x14ac:dyDescent="0.3">
      <c r="A4">
        <v>15</v>
      </c>
      <c r="B4">
        <v>26414</v>
      </c>
      <c r="C4" t="s">
        <v>49</v>
      </c>
      <c r="D4" t="s">
        <v>50</v>
      </c>
      <c r="E4" t="s">
        <v>19</v>
      </c>
      <c r="F4" t="s">
        <v>15</v>
      </c>
      <c r="G4" s="1">
        <v>40292</v>
      </c>
      <c r="H4" s="1">
        <v>26435</v>
      </c>
      <c r="I4" t="s">
        <v>16</v>
      </c>
      <c r="J4">
        <v>12801</v>
      </c>
      <c r="K4" s="3">
        <v>0.75</v>
      </c>
      <c r="L4" s="3">
        <v>0.76</v>
      </c>
    </row>
    <row r="5" spans="1:12" x14ac:dyDescent="0.3">
      <c r="A5">
        <v>24</v>
      </c>
      <c r="B5">
        <v>30352</v>
      </c>
      <c r="C5" t="s">
        <v>59</v>
      </c>
      <c r="D5" t="s">
        <v>50</v>
      </c>
      <c r="E5" t="s">
        <v>19</v>
      </c>
      <c r="F5" t="s">
        <v>28</v>
      </c>
      <c r="G5" s="1">
        <v>42483</v>
      </c>
      <c r="H5" s="1">
        <v>25924</v>
      </c>
      <c r="I5" t="s">
        <v>16</v>
      </c>
      <c r="J5">
        <v>16742</v>
      </c>
      <c r="K5" s="3">
        <v>0.87</v>
      </c>
      <c r="L5" s="3">
        <v>0.87</v>
      </c>
    </row>
    <row r="6" spans="1:12" x14ac:dyDescent="0.3">
      <c r="A6">
        <v>25</v>
      </c>
      <c r="B6">
        <v>26726</v>
      </c>
      <c r="C6" t="s">
        <v>60</v>
      </c>
      <c r="D6" t="s">
        <v>50</v>
      </c>
      <c r="E6" t="s">
        <v>76</v>
      </c>
      <c r="F6" t="s">
        <v>28</v>
      </c>
      <c r="G6" s="1">
        <v>42490</v>
      </c>
      <c r="H6" s="1">
        <v>30587</v>
      </c>
      <c r="I6" t="s">
        <v>16</v>
      </c>
      <c r="J6">
        <v>15635</v>
      </c>
      <c r="K6" s="3">
        <v>0.84</v>
      </c>
      <c r="L6" s="3">
        <v>0.84</v>
      </c>
    </row>
    <row r="7" spans="1:12" x14ac:dyDescent="0.3">
      <c r="A7">
        <v>35</v>
      </c>
      <c r="B7">
        <v>26431</v>
      </c>
      <c r="C7" t="s">
        <v>70</v>
      </c>
      <c r="D7" t="s">
        <v>48</v>
      </c>
      <c r="E7" t="s">
        <v>76</v>
      </c>
      <c r="F7" t="s">
        <v>15</v>
      </c>
      <c r="G7" s="1">
        <v>42833</v>
      </c>
      <c r="H7" s="1">
        <v>30733</v>
      </c>
      <c r="I7" t="s">
        <v>16</v>
      </c>
      <c r="J7">
        <v>20897</v>
      </c>
      <c r="K7" s="3">
        <v>0.83</v>
      </c>
      <c r="L7" s="3">
        <v>0.67</v>
      </c>
    </row>
    <row r="8" spans="1:12" x14ac:dyDescent="0.3">
      <c r="A8">
        <v>36</v>
      </c>
      <c r="B8">
        <v>26396</v>
      </c>
      <c r="C8" t="s">
        <v>71</v>
      </c>
      <c r="D8" t="s">
        <v>50</v>
      </c>
      <c r="E8" t="s">
        <v>76</v>
      </c>
      <c r="F8" t="s">
        <v>24</v>
      </c>
      <c r="G8" s="1">
        <v>41527</v>
      </c>
      <c r="H8" s="1">
        <v>27607</v>
      </c>
      <c r="I8" t="s">
        <v>16</v>
      </c>
      <c r="J8">
        <v>15730</v>
      </c>
      <c r="K8" s="3">
        <v>0.86</v>
      </c>
      <c r="L8" s="3">
        <v>0.53</v>
      </c>
    </row>
    <row r="9" spans="1:12" x14ac:dyDescent="0.3">
      <c r="A9">
        <v>44</v>
      </c>
      <c r="B9">
        <v>26445</v>
      </c>
      <c r="C9" t="s">
        <v>36</v>
      </c>
      <c r="D9" t="s">
        <v>50</v>
      </c>
      <c r="E9" t="s">
        <v>76</v>
      </c>
      <c r="F9" t="s">
        <v>15</v>
      </c>
      <c r="G9" s="1">
        <v>39671</v>
      </c>
      <c r="H9" s="1">
        <v>25496</v>
      </c>
      <c r="I9" t="s">
        <v>16</v>
      </c>
      <c r="J9">
        <v>16861</v>
      </c>
      <c r="K9" s="3">
        <v>0.87</v>
      </c>
      <c r="L9" s="3">
        <v>0.52</v>
      </c>
    </row>
    <row r="10" spans="1:12" x14ac:dyDescent="0.3">
      <c r="A10">
        <v>45</v>
      </c>
      <c r="B10">
        <v>26400</v>
      </c>
      <c r="C10" t="s">
        <v>38</v>
      </c>
      <c r="D10" t="s">
        <v>50</v>
      </c>
      <c r="E10" t="s">
        <v>76</v>
      </c>
      <c r="F10" t="s">
        <v>28</v>
      </c>
      <c r="G10" s="1">
        <v>42084</v>
      </c>
      <c r="H10" s="1">
        <v>25856</v>
      </c>
      <c r="I10" t="s">
        <v>16</v>
      </c>
      <c r="J10">
        <v>5067</v>
      </c>
      <c r="K10" s="3">
        <v>0.86</v>
      </c>
      <c r="L10" s="3">
        <v>0.94</v>
      </c>
    </row>
    <row r="11" spans="1:12" x14ac:dyDescent="0.3">
      <c r="A11">
        <v>53</v>
      </c>
      <c r="B11">
        <v>26443</v>
      </c>
      <c r="C11" t="s">
        <v>52</v>
      </c>
      <c r="D11" t="s">
        <v>50</v>
      </c>
      <c r="E11" t="s">
        <v>19</v>
      </c>
      <c r="F11" t="s">
        <v>15</v>
      </c>
      <c r="G11" s="1">
        <v>39641</v>
      </c>
      <c r="H11" s="1">
        <v>25608</v>
      </c>
      <c r="I11" t="s">
        <v>16</v>
      </c>
      <c r="J11">
        <v>12903</v>
      </c>
      <c r="K11" s="3">
        <v>0.77</v>
      </c>
      <c r="L11" s="3">
        <v>0.75</v>
      </c>
    </row>
    <row r="12" spans="1:12" x14ac:dyDescent="0.3">
      <c r="A12">
        <v>63</v>
      </c>
      <c r="B12">
        <v>26610</v>
      </c>
      <c r="C12" t="s">
        <v>63</v>
      </c>
      <c r="D12" t="s">
        <v>48</v>
      </c>
      <c r="E12" t="s">
        <v>19</v>
      </c>
      <c r="F12" t="s">
        <v>28</v>
      </c>
      <c r="G12" s="1">
        <v>43121</v>
      </c>
      <c r="H12" s="1">
        <v>27200</v>
      </c>
      <c r="I12" t="s">
        <v>16</v>
      </c>
      <c r="J12">
        <v>4388</v>
      </c>
      <c r="K12" s="3">
        <v>0.86</v>
      </c>
      <c r="L12" s="3">
        <v>0.47</v>
      </c>
    </row>
    <row r="13" spans="1:12" x14ac:dyDescent="0.3">
      <c r="A13">
        <v>64</v>
      </c>
      <c r="B13">
        <v>26404</v>
      </c>
      <c r="C13" t="s">
        <v>64</v>
      </c>
      <c r="D13" t="s">
        <v>50</v>
      </c>
      <c r="E13" t="s">
        <v>19</v>
      </c>
      <c r="F13" t="s">
        <v>28</v>
      </c>
      <c r="G13" s="1">
        <v>43463</v>
      </c>
      <c r="H13" s="1">
        <v>27167</v>
      </c>
      <c r="I13" t="s">
        <v>16</v>
      </c>
      <c r="J13">
        <v>15454</v>
      </c>
      <c r="K13" s="3">
        <v>0.87</v>
      </c>
      <c r="L13" s="3">
        <v>0.94</v>
      </c>
    </row>
    <row r="14" spans="1:12" x14ac:dyDescent="0.3">
      <c r="A14">
        <v>65</v>
      </c>
      <c r="B14">
        <v>26402</v>
      </c>
      <c r="C14" t="s">
        <v>65</v>
      </c>
      <c r="D14" t="s">
        <v>50</v>
      </c>
      <c r="E14" t="s">
        <v>19</v>
      </c>
      <c r="F14" t="s">
        <v>15</v>
      </c>
      <c r="G14" s="1">
        <v>37676</v>
      </c>
      <c r="H14" s="1">
        <v>25124</v>
      </c>
      <c r="I14" t="s">
        <v>16</v>
      </c>
      <c r="J14">
        <v>24472</v>
      </c>
      <c r="K14" s="3">
        <v>0.84</v>
      </c>
      <c r="L14" s="3">
        <v>0.52</v>
      </c>
    </row>
    <row r="15" spans="1:12" x14ac:dyDescent="0.3">
      <c r="A15">
        <v>66</v>
      </c>
      <c r="B15">
        <v>26427</v>
      </c>
      <c r="C15" t="s">
        <v>66</v>
      </c>
      <c r="D15" t="s">
        <v>50</v>
      </c>
      <c r="E15" t="s">
        <v>19</v>
      </c>
      <c r="F15" t="s">
        <v>15</v>
      </c>
      <c r="G15" s="1">
        <v>37817</v>
      </c>
      <c r="H15" s="1">
        <v>23708</v>
      </c>
      <c r="I15" t="s">
        <v>16</v>
      </c>
      <c r="J15">
        <v>15992</v>
      </c>
      <c r="K15" s="3">
        <v>0.82</v>
      </c>
      <c r="L15" s="3">
        <v>0.91</v>
      </c>
    </row>
    <row r="16" spans="1:12" x14ac:dyDescent="0.3">
      <c r="A16">
        <v>76</v>
      </c>
      <c r="B16">
        <v>26999</v>
      </c>
      <c r="C16" t="s">
        <v>29</v>
      </c>
      <c r="D16" t="s">
        <v>48</v>
      </c>
      <c r="E16" t="s">
        <v>19</v>
      </c>
      <c r="F16" t="s">
        <v>15</v>
      </c>
      <c r="G16" s="1">
        <v>42515</v>
      </c>
      <c r="H16" s="1">
        <v>24332</v>
      </c>
      <c r="I16" t="s">
        <v>16</v>
      </c>
      <c r="J16">
        <v>21183</v>
      </c>
      <c r="K16" s="3">
        <v>0.85</v>
      </c>
      <c r="L16" s="3">
        <v>0.66</v>
      </c>
    </row>
    <row r="17" spans="1:12" x14ac:dyDescent="0.3">
      <c r="A17">
        <v>77</v>
      </c>
      <c r="B17">
        <v>28929</v>
      </c>
      <c r="C17" t="s">
        <v>32</v>
      </c>
      <c r="D17" t="s">
        <v>50</v>
      </c>
      <c r="E17" t="s">
        <v>19</v>
      </c>
      <c r="F17" t="s">
        <v>15</v>
      </c>
      <c r="G17" s="1">
        <v>41783</v>
      </c>
      <c r="H17" s="1">
        <v>25532</v>
      </c>
      <c r="I17" t="s">
        <v>16</v>
      </c>
      <c r="J17">
        <v>22459</v>
      </c>
      <c r="K17" s="3">
        <v>0.86</v>
      </c>
      <c r="L17" s="3">
        <v>0.43</v>
      </c>
    </row>
    <row r="18" spans="1:12" x14ac:dyDescent="0.3">
      <c r="A18">
        <v>87</v>
      </c>
      <c r="B18">
        <v>26447</v>
      </c>
      <c r="C18" t="s">
        <v>52</v>
      </c>
      <c r="D18" t="s">
        <v>48</v>
      </c>
      <c r="E18" t="s">
        <v>19</v>
      </c>
      <c r="F18" t="s">
        <v>28</v>
      </c>
      <c r="G18" s="1">
        <v>39669</v>
      </c>
      <c r="H18" s="1">
        <v>29342</v>
      </c>
      <c r="I18" t="s">
        <v>16</v>
      </c>
      <c r="J18">
        <v>2227</v>
      </c>
      <c r="K18" s="3">
        <v>0.8</v>
      </c>
      <c r="L18" s="3">
        <v>0.59</v>
      </c>
    </row>
    <row r="19" spans="1:12" x14ac:dyDescent="0.3">
      <c r="A19">
        <v>88</v>
      </c>
      <c r="B19">
        <v>28227</v>
      </c>
      <c r="C19" t="s">
        <v>53</v>
      </c>
      <c r="D19" t="s">
        <v>50</v>
      </c>
      <c r="E19" t="s">
        <v>19</v>
      </c>
      <c r="F19" t="s">
        <v>28</v>
      </c>
      <c r="G19" s="1">
        <v>39767</v>
      </c>
      <c r="H19" s="1">
        <v>26395</v>
      </c>
      <c r="I19" t="s">
        <v>16</v>
      </c>
      <c r="J19">
        <v>1673</v>
      </c>
      <c r="K19" s="3">
        <v>0.78</v>
      </c>
      <c r="L19" s="3">
        <v>0.78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CB65-CF5D-44F4-91C2-65204B900C7D}">
  <sheetPr>
    <tabColor theme="4"/>
  </sheetPr>
  <dimension ref="A1:L13"/>
  <sheetViews>
    <sheetView showGridLines="0" workbookViewId="0"/>
  </sheetViews>
  <sheetFormatPr defaultRowHeight="14.4" x14ac:dyDescent="0.3"/>
  <cols>
    <col min="1" max="1" width="11.6640625" bestFit="1" customWidth="1"/>
    <col min="2" max="2" width="14.5546875" bestFit="1" customWidth="1"/>
    <col min="3" max="3" width="14.33203125" bestFit="1" customWidth="1"/>
    <col min="4" max="4" width="17.33203125" bestFit="1" customWidth="1"/>
    <col min="5" max="6" width="9.6640625" bestFit="1" customWidth="1"/>
    <col min="7" max="7" width="14.6640625" bestFit="1" customWidth="1"/>
    <col min="8" max="8" width="14.109375" bestFit="1" customWidth="1"/>
    <col min="9" max="9" width="15.6640625" bestFit="1" customWidth="1"/>
    <col min="10" max="10" width="9.5546875" bestFit="1" customWidth="1"/>
    <col min="11" max="12" width="13.109375" style="3" bestFit="1" customWidth="1"/>
  </cols>
  <sheetData>
    <row r="1" spans="1:12" x14ac:dyDescent="0.3">
      <c r="A1" s="2" t="s">
        <v>0</v>
      </c>
      <c r="B1" s="2" t="s">
        <v>1</v>
      </c>
      <c r="C1" s="2" t="s">
        <v>2</v>
      </c>
      <c r="D1" s="2" t="s">
        <v>3</v>
      </c>
      <c r="E1" s="2" t="s">
        <v>4</v>
      </c>
      <c r="F1" s="2" t="s">
        <v>5</v>
      </c>
      <c r="G1" s="2" t="s">
        <v>6</v>
      </c>
      <c r="H1" s="2" t="s">
        <v>7</v>
      </c>
      <c r="I1" s="2" t="s">
        <v>8</v>
      </c>
      <c r="J1" s="2" t="s">
        <v>9</v>
      </c>
      <c r="K1" s="3" t="s">
        <v>10</v>
      </c>
      <c r="L1" s="3" t="s">
        <v>11</v>
      </c>
    </row>
    <row r="2" spans="1:12" x14ac:dyDescent="0.3">
      <c r="A2">
        <v>3</v>
      </c>
      <c r="B2">
        <v>26446</v>
      </c>
      <c r="C2" t="s">
        <v>21</v>
      </c>
      <c r="D2" t="s">
        <v>22</v>
      </c>
      <c r="E2" t="s">
        <v>23</v>
      </c>
      <c r="F2" t="s">
        <v>24</v>
      </c>
      <c r="G2" s="1">
        <v>41498</v>
      </c>
      <c r="H2" s="1">
        <v>29990</v>
      </c>
      <c r="I2" t="s">
        <v>20</v>
      </c>
      <c r="J2">
        <v>25000</v>
      </c>
      <c r="K2" s="3">
        <v>0.8</v>
      </c>
      <c r="L2" s="3">
        <v>0.9</v>
      </c>
    </row>
    <row r="3" spans="1:12" x14ac:dyDescent="0.3">
      <c r="A3">
        <v>9</v>
      </c>
      <c r="B3">
        <v>26412</v>
      </c>
      <c r="C3" t="s">
        <v>38</v>
      </c>
      <c r="D3" t="s">
        <v>39</v>
      </c>
      <c r="E3" t="s">
        <v>23</v>
      </c>
      <c r="F3" t="s">
        <v>15</v>
      </c>
      <c r="G3" s="1">
        <v>39767</v>
      </c>
      <c r="H3" s="1">
        <v>30733</v>
      </c>
      <c r="I3" t="s">
        <v>16</v>
      </c>
      <c r="J3">
        <v>11492</v>
      </c>
      <c r="K3" s="3">
        <v>0.81</v>
      </c>
      <c r="L3" s="3">
        <v>0.77</v>
      </c>
    </row>
    <row r="4" spans="1:12" x14ac:dyDescent="0.3">
      <c r="A4">
        <v>30</v>
      </c>
      <c r="B4">
        <v>25905</v>
      </c>
      <c r="C4" t="s">
        <v>65</v>
      </c>
      <c r="D4" t="s">
        <v>39</v>
      </c>
      <c r="E4" t="s">
        <v>23</v>
      </c>
      <c r="F4" t="s">
        <v>28</v>
      </c>
      <c r="G4" s="1">
        <v>41749</v>
      </c>
      <c r="H4" s="1">
        <v>23688</v>
      </c>
      <c r="I4" t="s">
        <v>16</v>
      </c>
      <c r="J4">
        <v>5578</v>
      </c>
      <c r="K4" s="3">
        <v>0.76</v>
      </c>
      <c r="L4" s="3">
        <v>0.97</v>
      </c>
    </row>
    <row r="5" spans="1:12" x14ac:dyDescent="0.3">
      <c r="A5">
        <v>50</v>
      </c>
      <c r="B5">
        <v>30350</v>
      </c>
      <c r="C5" t="s">
        <v>47</v>
      </c>
      <c r="D5" t="s">
        <v>39</v>
      </c>
      <c r="E5" t="s">
        <v>23</v>
      </c>
      <c r="F5" t="s">
        <v>15</v>
      </c>
      <c r="G5" s="1">
        <v>37817</v>
      </c>
      <c r="H5" s="1">
        <v>25539</v>
      </c>
      <c r="I5" t="s">
        <v>16</v>
      </c>
      <c r="J5">
        <v>6348</v>
      </c>
      <c r="K5" s="3">
        <v>0.76</v>
      </c>
      <c r="L5" s="3">
        <v>0.69</v>
      </c>
    </row>
    <row r="6" spans="1:12" x14ac:dyDescent="0.3">
      <c r="A6">
        <v>58</v>
      </c>
      <c r="B6">
        <v>30349</v>
      </c>
      <c r="C6" t="s">
        <v>57</v>
      </c>
      <c r="D6" t="s">
        <v>39</v>
      </c>
      <c r="E6" t="s">
        <v>23</v>
      </c>
      <c r="F6" t="s">
        <v>24</v>
      </c>
      <c r="G6" s="1">
        <v>42598</v>
      </c>
      <c r="H6" s="1">
        <v>25876</v>
      </c>
      <c r="I6" t="s">
        <v>16</v>
      </c>
      <c r="J6">
        <v>1952</v>
      </c>
      <c r="K6" s="3">
        <v>0.83</v>
      </c>
      <c r="L6" s="3">
        <v>0.76</v>
      </c>
    </row>
    <row r="7" spans="1:12" x14ac:dyDescent="0.3">
      <c r="A7">
        <v>71</v>
      </c>
      <c r="B7">
        <v>30460</v>
      </c>
      <c r="C7" t="s">
        <v>72</v>
      </c>
      <c r="D7" t="s">
        <v>39</v>
      </c>
      <c r="E7" t="s">
        <v>23</v>
      </c>
      <c r="F7" t="s">
        <v>15</v>
      </c>
      <c r="G7" s="1">
        <v>40680</v>
      </c>
      <c r="H7" s="1">
        <v>28100</v>
      </c>
      <c r="I7" t="s">
        <v>16</v>
      </c>
      <c r="J7">
        <v>18214</v>
      </c>
      <c r="K7" s="3">
        <v>0.78</v>
      </c>
      <c r="L7" s="3">
        <v>0.64</v>
      </c>
    </row>
    <row r="8" spans="1:12" x14ac:dyDescent="0.3">
      <c r="A8">
        <v>3</v>
      </c>
      <c r="B8">
        <v>26446</v>
      </c>
      <c r="C8" t="s">
        <v>21</v>
      </c>
      <c r="D8" t="s">
        <v>22</v>
      </c>
      <c r="E8" t="s">
        <v>23</v>
      </c>
      <c r="F8" t="s">
        <v>24</v>
      </c>
      <c r="G8" s="1">
        <v>41498</v>
      </c>
      <c r="H8" s="1">
        <v>29990</v>
      </c>
      <c r="I8" t="s">
        <v>20</v>
      </c>
      <c r="J8">
        <v>25000</v>
      </c>
      <c r="K8" s="3">
        <v>0.8</v>
      </c>
      <c r="L8" s="3">
        <v>0.9</v>
      </c>
    </row>
    <row r="9" spans="1:12" x14ac:dyDescent="0.3">
      <c r="A9">
        <v>9</v>
      </c>
      <c r="B9">
        <v>26412</v>
      </c>
      <c r="C9" t="s">
        <v>38</v>
      </c>
      <c r="D9" t="s">
        <v>39</v>
      </c>
      <c r="E9" t="s">
        <v>23</v>
      </c>
      <c r="F9" t="s">
        <v>15</v>
      </c>
      <c r="G9" s="1">
        <v>39767</v>
      </c>
      <c r="H9" s="1">
        <v>30733</v>
      </c>
      <c r="I9" t="s">
        <v>16</v>
      </c>
      <c r="J9">
        <v>11492</v>
      </c>
      <c r="K9" s="3">
        <v>0.81</v>
      </c>
      <c r="L9" s="3">
        <v>0.77</v>
      </c>
    </row>
    <row r="10" spans="1:12" x14ac:dyDescent="0.3">
      <c r="A10">
        <v>30</v>
      </c>
      <c r="B10">
        <v>25905</v>
      </c>
      <c r="C10" t="s">
        <v>65</v>
      </c>
      <c r="D10" t="s">
        <v>39</v>
      </c>
      <c r="E10" t="s">
        <v>23</v>
      </c>
      <c r="F10" t="s">
        <v>28</v>
      </c>
      <c r="G10" s="1">
        <v>41749</v>
      </c>
      <c r="H10" s="1">
        <v>23688</v>
      </c>
      <c r="I10" t="s">
        <v>16</v>
      </c>
      <c r="J10">
        <v>5578</v>
      </c>
      <c r="K10" s="3">
        <v>0.76</v>
      </c>
      <c r="L10" s="3">
        <v>0.97</v>
      </c>
    </row>
    <row r="11" spans="1:12" x14ac:dyDescent="0.3">
      <c r="A11">
        <v>50</v>
      </c>
      <c r="B11">
        <v>30350</v>
      </c>
      <c r="C11" t="s">
        <v>47</v>
      </c>
      <c r="D11" t="s">
        <v>39</v>
      </c>
      <c r="E11" t="s">
        <v>23</v>
      </c>
      <c r="F11" t="s">
        <v>15</v>
      </c>
      <c r="G11" s="1">
        <v>37817</v>
      </c>
      <c r="H11" s="1">
        <v>25539</v>
      </c>
      <c r="I11" t="s">
        <v>16</v>
      </c>
      <c r="J11">
        <v>6348</v>
      </c>
      <c r="K11" s="3">
        <v>0.76</v>
      </c>
      <c r="L11" s="3">
        <v>0.69</v>
      </c>
    </row>
    <row r="12" spans="1:12" x14ac:dyDescent="0.3">
      <c r="A12">
        <v>58</v>
      </c>
      <c r="B12">
        <v>30349</v>
      </c>
      <c r="C12" t="s">
        <v>57</v>
      </c>
      <c r="D12" t="s">
        <v>39</v>
      </c>
      <c r="E12" t="s">
        <v>23</v>
      </c>
      <c r="F12" t="s">
        <v>24</v>
      </c>
      <c r="G12" s="1">
        <v>42598</v>
      </c>
      <c r="H12" s="1">
        <v>25876</v>
      </c>
      <c r="I12" t="s">
        <v>16</v>
      </c>
      <c r="J12">
        <v>1952</v>
      </c>
      <c r="K12" s="3">
        <v>0.83</v>
      </c>
      <c r="L12" s="3">
        <v>0.76</v>
      </c>
    </row>
    <row r="13" spans="1:12" x14ac:dyDescent="0.3">
      <c r="A13">
        <v>71</v>
      </c>
      <c r="B13">
        <v>30460</v>
      </c>
      <c r="C13" t="s">
        <v>72</v>
      </c>
      <c r="D13" t="s">
        <v>39</v>
      </c>
      <c r="E13" t="s">
        <v>23</v>
      </c>
      <c r="F13" t="s">
        <v>15</v>
      </c>
      <c r="G13" s="1">
        <v>40680</v>
      </c>
      <c r="H13" s="1">
        <v>28100</v>
      </c>
      <c r="I13" t="s">
        <v>16</v>
      </c>
      <c r="J13">
        <v>18214</v>
      </c>
      <c r="K13" s="3">
        <v>0.78</v>
      </c>
      <c r="L13" s="3">
        <v>0.64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F33A-B414-40FC-8C1D-3611F7DD16FC}">
  <sheetPr>
    <tabColor theme="4"/>
  </sheetPr>
  <dimension ref="A1:L24"/>
  <sheetViews>
    <sheetView showGridLines="0" workbookViewId="0"/>
  </sheetViews>
  <sheetFormatPr defaultRowHeight="14.4" x14ac:dyDescent="0.3"/>
  <cols>
    <col min="1" max="1" width="11.6640625" bestFit="1" customWidth="1"/>
    <col min="2" max="2" width="14.5546875" bestFit="1" customWidth="1"/>
    <col min="3" max="3" width="14.33203125" bestFit="1" customWidth="1"/>
    <col min="4" max="4" width="19.33203125" bestFit="1" customWidth="1"/>
    <col min="5" max="6" width="9.6640625" bestFit="1" customWidth="1"/>
    <col min="7" max="8" width="14.6640625" bestFit="1" customWidth="1"/>
    <col min="9" max="9" width="15.6640625" bestFit="1" customWidth="1"/>
    <col min="10" max="10" width="9.5546875" bestFit="1" customWidth="1"/>
    <col min="11" max="12" width="13.109375" style="3" bestFit="1" customWidth="1"/>
  </cols>
  <sheetData>
    <row r="1" spans="1:12" x14ac:dyDescent="0.3">
      <c r="A1" s="2" t="s">
        <v>0</v>
      </c>
      <c r="B1" s="2" t="s">
        <v>1</v>
      </c>
      <c r="C1" s="2" t="s">
        <v>2</v>
      </c>
      <c r="D1" s="2" t="s">
        <v>3</v>
      </c>
      <c r="E1" s="2" t="s">
        <v>4</v>
      </c>
      <c r="F1" s="2" t="s">
        <v>5</v>
      </c>
      <c r="G1" s="2" t="s">
        <v>6</v>
      </c>
      <c r="H1" s="2" t="s">
        <v>7</v>
      </c>
      <c r="I1" s="2" t="s">
        <v>8</v>
      </c>
      <c r="J1" s="2" t="s">
        <v>9</v>
      </c>
      <c r="K1" s="3" t="s">
        <v>10</v>
      </c>
      <c r="L1" s="3" t="s">
        <v>11</v>
      </c>
    </row>
    <row r="2" spans="1:12" x14ac:dyDescent="0.3">
      <c r="A2">
        <v>1</v>
      </c>
      <c r="B2">
        <v>26434</v>
      </c>
      <c r="C2" t="s">
        <v>12</v>
      </c>
      <c r="D2" t="s">
        <v>13</v>
      </c>
      <c r="E2" t="s">
        <v>14</v>
      </c>
      <c r="F2" t="s">
        <v>15</v>
      </c>
      <c r="G2" s="1">
        <v>39036</v>
      </c>
      <c r="H2" s="1">
        <v>29537</v>
      </c>
      <c r="I2" t="s">
        <v>16</v>
      </c>
      <c r="J2">
        <v>20500</v>
      </c>
      <c r="K2" s="3">
        <v>0.82</v>
      </c>
      <c r="L2" s="3">
        <v>0.86</v>
      </c>
    </row>
    <row r="3" spans="1:12" x14ac:dyDescent="0.3">
      <c r="A3">
        <v>6</v>
      </c>
      <c r="B3">
        <v>27154</v>
      </c>
      <c r="C3" t="s">
        <v>32</v>
      </c>
      <c r="D3" t="s">
        <v>33</v>
      </c>
      <c r="E3" t="s">
        <v>14</v>
      </c>
      <c r="F3" t="s">
        <v>15</v>
      </c>
      <c r="G3" s="1">
        <v>37121</v>
      </c>
      <c r="H3" s="1">
        <v>24296</v>
      </c>
      <c r="I3" t="s">
        <v>16</v>
      </c>
      <c r="J3">
        <v>17233</v>
      </c>
      <c r="K3" s="3">
        <v>0.89</v>
      </c>
      <c r="L3" s="3">
        <v>0.41</v>
      </c>
    </row>
    <row r="4" spans="1:12" x14ac:dyDescent="0.3">
      <c r="A4">
        <v>7</v>
      </c>
      <c r="B4">
        <v>27008</v>
      </c>
      <c r="C4" t="s">
        <v>34</v>
      </c>
      <c r="D4" t="s">
        <v>35</v>
      </c>
      <c r="E4" t="s">
        <v>14</v>
      </c>
      <c r="F4" t="s">
        <v>24</v>
      </c>
      <c r="G4" s="1">
        <v>37758</v>
      </c>
      <c r="H4" s="1">
        <v>30195</v>
      </c>
      <c r="I4" t="s">
        <v>16</v>
      </c>
      <c r="J4">
        <v>19987</v>
      </c>
      <c r="K4" s="3">
        <v>0.76</v>
      </c>
      <c r="L4" s="3">
        <v>0.55000000000000004</v>
      </c>
    </row>
    <row r="5" spans="1:12" x14ac:dyDescent="0.3">
      <c r="A5">
        <v>8</v>
      </c>
      <c r="B5">
        <v>27621</v>
      </c>
      <c r="C5" t="s">
        <v>36</v>
      </c>
      <c r="D5" t="s">
        <v>37</v>
      </c>
      <c r="E5" t="s">
        <v>14</v>
      </c>
      <c r="F5" t="s">
        <v>28</v>
      </c>
      <c r="G5" s="1">
        <v>39600</v>
      </c>
      <c r="H5" s="1">
        <v>29625</v>
      </c>
      <c r="I5" t="s">
        <v>16</v>
      </c>
      <c r="J5">
        <v>23537</v>
      </c>
      <c r="K5" s="3">
        <v>0.87</v>
      </c>
      <c r="L5" s="3">
        <v>0.69</v>
      </c>
    </row>
    <row r="6" spans="1:12" x14ac:dyDescent="0.3">
      <c r="A6">
        <v>26</v>
      </c>
      <c r="B6">
        <v>27374</v>
      </c>
      <c r="C6" t="s">
        <v>61</v>
      </c>
      <c r="D6" t="s">
        <v>35</v>
      </c>
      <c r="E6" t="s">
        <v>14</v>
      </c>
      <c r="F6" t="s">
        <v>15</v>
      </c>
      <c r="G6" s="1">
        <v>42491</v>
      </c>
      <c r="H6" s="1">
        <v>27603</v>
      </c>
      <c r="I6" t="s">
        <v>16</v>
      </c>
      <c r="J6">
        <v>7935</v>
      </c>
      <c r="K6" s="3">
        <v>0.83</v>
      </c>
      <c r="L6" s="3">
        <v>0.41</v>
      </c>
    </row>
    <row r="7" spans="1:12" x14ac:dyDescent="0.3">
      <c r="A7">
        <v>27</v>
      </c>
      <c r="B7">
        <v>29368</v>
      </c>
      <c r="C7" t="s">
        <v>62</v>
      </c>
      <c r="D7" t="s">
        <v>33</v>
      </c>
      <c r="E7" t="s">
        <v>14</v>
      </c>
      <c r="F7" t="s">
        <v>24</v>
      </c>
      <c r="G7" s="1">
        <v>42515</v>
      </c>
      <c r="H7" s="1">
        <v>26982</v>
      </c>
      <c r="I7" t="s">
        <v>16</v>
      </c>
      <c r="J7">
        <v>20121</v>
      </c>
      <c r="K7" s="3">
        <v>0.8</v>
      </c>
      <c r="L7" s="3">
        <v>0.64</v>
      </c>
    </row>
    <row r="8" spans="1:12" x14ac:dyDescent="0.3">
      <c r="A8">
        <v>28</v>
      </c>
      <c r="B8">
        <v>27092</v>
      </c>
      <c r="C8" t="s">
        <v>63</v>
      </c>
      <c r="D8" t="s">
        <v>35</v>
      </c>
      <c r="E8" t="s">
        <v>14</v>
      </c>
      <c r="F8" t="s">
        <v>15</v>
      </c>
      <c r="G8" s="1">
        <v>42597</v>
      </c>
      <c r="H8" s="1">
        <v>29688</v>
      </c>
      <c r="I8" t="s">
        <v>16</v>
      </c>
      <c r="J8">
        <v>16408</v>
      </c>
      <c r="K8" s="3">
        <v>0.76</v>
      </c>
      <c r="L8" s="3">
        <v>0.91</v>
      </c>
    </row>
    <row r="9" spans="1:12" x14ac:dyDescent="0.3">
      <c r="A9">
        <v>29</v>
      </c>
      <c r="B9">
        <v>26429</v>
      </c>
      <c r="C9" t="s">
        <v>64</v>
      </c>
      <c r="D9" t="s">
        <v>37</v>
      </c>
      <c r="E9" t="s">
        <v>14</v>
      </c>
      <c r="F9" t="s">
        <v>24</v>
      </c>
      <c r="G9" s="1">
        <v>35029</v>
      </c>
      <c r="H9" s="1">
        <v>30178</v>
      </c>
      <c r="I9" t="s">
        <v>16</v>
      </c>
      <c r="J9">
        <v>2323</v>
      </c>
      <c r="K9" s="3">
        <v>0.83</v>
      </c>
      <c r="L9" s="3">
        <v>0.75</v>
      </c>
    </row>
    <row r="10" spans="1:12" x14ac:dyDescent="0.3">
      <c r="A10">
        <v>46</v>
      </c>
      <c r="B10">
        <v>26994</v>
      </c>
      <c r="C10" t="s">
        <v>40</v>
      </c>
      <c r="D10" t="s">
        <v>35</v>
      </c>
      <c r="F10" t="s">
        <v>15</v>
      </c>
      <c r="G10" s="1">
        <v>35855</v>
      </c>
      <c r="H10" s="1">
        <v>24091</v>
      </c>
      <c r="I10" t="s">
        <v>16</v>
      </c>
      <c r="J10">
        <v>6553</v>
      </c>
      <c r="K10" s="3">
        <v>0.75</v>
      </c>
      <c r="L10" s="3">
        <v>0.75</v>
      </c>
    </row>
    <row r="11" spans="1:12" x14ac:dyDescent="0.3">
      <c r="A11">
        <v>47</v>
      </c>
      <c r="B11">
        <v>27007</v>
      </c>
      <c r="C11" t="s">
        <v>43</v>
      </c>
      <c r="D11" t="s">
        <v>33</v>
      </c>
      <c r="F11" t="s">
        <v>15</v>
      </c>
      <c r="G11" s="1">
        <v>36544</v>
      </c>
      <c r="H11" s="1">
        <v>28423</v>
      </c>
      <c r="I11" t="s">
        <v>16</v>
      </c>
      <c r="J11">
        <v>13054</v>
      </c>
      <c r="K11" s="3">
        <v>0.82</v>
      </c>
      <c r="L11" s="3">
        <v>0.48</v>
      </c>
    </row>
    <row r="12" spans="1:12" x14ac:dyDescent="0.3">
      <c r="A12">
        <v>48</v>
      </c>
      <c r="B12">
        <v>26424</v>
      </c>
      <c r="C12" t="s">
        <v>44</v>
      </c>
      <c r="D12" t="s">
        <v>35</v>
      </c>
      <c r="F12" t="s">
        <v>15</v>
      </c>
      <c r="G12" s="1">
        <v>37118</v>
      </c>
      <c r="H12" s="1">
        <v>27130</v>
      </c>
      <c r="I12" t="s">
        <v>16</v>
      </c>
      <c r="J12">
        <v>20909</v>
      </c>
      <c r="K12" s="3">
        <v>0.88</v>
      </c>
      <c r="L12" s="3">
        <v>0.46</v>
      </c>
    </row>
    <row r="13" spans="1:12" x14ac:dyDescent="0.3">
      <c r="A13">
        <v>49</v>
      </c>
      <c r="B13">
        <v>26415</v>
      </c>
      <c r="C13" t="s">
        <v>46</v>
      </c>
      <c r="D13" t="s">
        <v>37</v>
      </c>
      <c r="E13" t="s">
        <v>14</v>
      </c>
      <c r="F13" t="s">
        <v>24</v>
      </c>
      <c r="G13" s="1">
        <v>37460</v>
      </c>
      <c r="H13" s="1">
        <v>25427</v>
      </c>
      <c r="I13" t="s">
        <v>16</v>
      </c>
      <c r="J13">
        <v>23771</v>
      </c>
      <c r="K13" s="3">
        <v>0.88</v>
      </c>
      <c r="L13" s="3">
        <v>0.63</v>
      </c>
    </row>
    <row r="14" spans="1:12" x14ac:dyDescent="0.3">
      <c r="A14">
        <v>54</v>
      </c>
      <c r="B14">
        <v>27143</v>
      </c>
      <c r="C14" t="s">
        <v>53</v>
      </c>
      <c r="D14" t="s">
        <v>35</v>
      </c>
      <c r="E14" t="s">
        <v>14</v>
      </c>
      <c r="F14" t="s">
        <v>15</v>
      </c>
      <c r="G14" s="1">
        <v>41748</v>
      </c>
      <c r="H14" s="1">
        <v>25434</v>
      </c>
      <c r="I14" t="s">
        <v>16</v>
      </c>
      <c r="J14">
        <v>8529</v>
      </c>
      <c r="K14" s="3">
        <v>0.83</v>
      </c>
      <c r="L14" s="3">
        <v>0.77</v>
      </c>
    </row>
    <row r="15" spans="1:12" x14ac:dyDescent="0.3">
      <c r="A15">
        <v>55</v>
      </c>
      <c r="B15">
        <v>27393</v>
      </c>
      <c r="C15" t="s">
        <v>54</v>
      </c>
      <c r="D15" t="s">
        <v>33</v>
      </c>
      <c r="E15" t="s">
        <v>14</v>
      </c>
      <c r="F15" t="s">
        <v>28</v>
      </c>
      <c r="G15" s="1">
        <v>41977</v>
      </c>
      <c r="H15" s="1">
        <v>29527</v>
      </c>
      <c r="I15" t="s">
        <v>16</v>
      </c>
      <c r="J15">
        <v>3453</v>
      </c>
      <c r="K15" s="3">
        <v>0.87</v>
      </c>
      <c r="L15" s="3">
        <v>0.83</v>
      </c>
    </row>
    <row r="16" spans="1:12" x14ac:dyDescent="0.3">
      <c r="A16">
        <v>56</v>
      </c>
      <c r="B16">
        <v>30351</v>
      </c>
      <c r="C16" t="s">
        <v>55</v>
      </c>
      <c r="D16" t="s">
        <v>35</v>
      </c>
      <c r="E16" t="s">
        <v>14</v>
      </c>
      <c r="F16" t="s">
        <v>28</v>
      </c>
      <c r="G16" s="1">
        <v>42053</v>
      </c>
      <c r="H16" s="1">
        <v>27098</v>
      </c>
      <c r="I16" t="s">
        <v>16</v>
      </c>
      <c r="J16">
        <v>14170</v>
      </c>
      <c r="K16" s="3">
        <v>0.77</v>
      </c>
      <c r="L16" s="3">
        <v>0.89</v>
      </c>
    </row>
    <row r="17" spans="1:12" x14ac:dyDescent="0.3">
      <c r="A17">
        <v>57</v>
      </c>
      <c r="B17">
        <v>26441</v>
      </c>
      <c r="C17" t="s">
        <v>56</v>
      </c>
      <c r="D17" t="s">
        <v>37</v>
      </c>
      <c r="E17" t="s">
        <v>14</v>
      </c>
      <c r="F17" t="s">
        <v>24</v>
      </c>
      <c r="G17" s="1">
        <v>42597</v>
      </c>
      <c r="H17" s="1">
        <v>30987</v>
      </c>
      <c r="I17" t="s">
        <v>16</v>
      </c>
      <c r="J17">
        <v>3254</v>
      </c>
      <c r="K17" s="3">
        <v>0.81</v>
      </c>
      <c r="L17" s="3">
        <v>0.85</v>
      </c>
    </row>
    <row r="18" spans="1:12" x14ac:dyDescent="0.3">
      <c r="A18">
        <v>67</v>
      </c>
      <c r="B18">
        <v>27009</v>
      </c>
      <c r="C18" t="s">
        <v>67</v>
      </c>
      <c r="D18" t="s">
        <v>35</v>
      </c>
      <c r="E18" t="s">
        <v>14</v>
      </c>
      <c r="F18" t="s">
        <v>28</v>
      </c>
      <c r="G18" s="1">
        <v>38816</v>
      </c>
      <c r="H18" s="1">
        <v>24781</v>
      </c>
      <c r="I18" t="s">
        <v>16</v>
      </c>
      <c r="J18">
        <v>5735</v>
      </c>
      <c r="K18" s="3">
        <v>0.82</v>
      </c>
      <c r="L18" s="3">
        <v>0.69</v>
      </c>
    </row>
    <row r="19" spans="1:12" x14ac:dyDescent="0.3">
      <c r="A19">
        <v>68</v>
      </c>
      <c r="B19">
        <v>26428</v>
      </c>
      <c r="C19" t="s">
        <v>68</v>
      </c>
      <c r="D19" t="s">
        <v>33</v>
      </c>
      <c r="E19" t="s">
        <v>14</v>
      </c>
      <c r="F19" t="s">
        <v>28</v>
      </c>
      <c r="G19" s="1">
        <v>39298</v>
      </c>
      <c r="H19" s="1">
        <v>25572</v>
      </c>
      <c r="I19" t="s">
        <v>16</v>
      </c>
      <c r="J19">
        <v>2725</v>
      </c>
      <c r="K19" s="3">
        <v>0.8</v>
      </c>
      <c r="L19" s="3">
        <v>0.54</v>
      </c>
    </row>
    <row r="20" spans="1:12" x14ac:dyDescent="0.3">
      <c r="A20">
        <v>69</v>
      </c>
      <c r="B20">
        <v>26417</v>
      </c>
      <c r="C20" t="s">
        <v>69</v>
      </c>
      <c r="D20" t="s">
        <v>35</v>
      </c>
      <c r="E20" t="s">
        <v>14</v>
      </c>
      <c r="F20" t="s">
        <v>15</v>
      </c>
      <c r="G20" s="1">
        <v>39725</v>
      </c>
      <c r="H20" s="1">
        <v>25981</v>
      </c>
      <c r="I20" t="s">
        <v>16</v>
      </c>
      <c r="J20">
        <v>5909</v>
      </c>
      <c r="K20" s="3">
        <v>0.76</v>
      </c>
      <c r="L20" s="3">
        <v>0.43</v>
      </c>
    </row>
    <row r="21" spans="1:12" x14ac:dyDescent="0.3">
      <c r="A21">
        <v>70</v>
      </c>
      <c r="B21">
        <v>27150</v>
      </c>
      <c r="C21" t="s">
        <v>71</v>
      </c>
      <c r="D21" t="s">
        <v>37</v>
      </c>
      <c r="E21" t="s">
        <v>14</v>
      </c>
      <c r="F21" t="s">
        <v>15</v>
      </c>
      <c r="G21" s="1">
        <v>40180</v>
      </c>
      <c r="H21" s="1">
        <v>23726</v>
      </c>
      <c r="I21" t="s">
        <v>16</v>
      </c>
      <c r="J21">
        <v>11445</v>
      </c>
      <c r="K21" s="3">
        <v>0.8</v>
      </c>
      <c r="L21" s="3">
        <v>0.57999999999999996</v>
      </c>
    </row>
    <row r="22" spans="1:12" x14ac:dyDescent="0.3">
      <c r="A22">
        <v>83</v>
      </c>
      <c r="B22">
        <v>26399</v>
      </c>
      <c r="C22" t="s">
        <v>46</v>
      </c>
      <c r="D22" t="s">
        <v>33</v>
      </c>
      <c r="E22" t="s">
        <v>14</v>
      </c>
      <c r="F22" t="s">
        <v>15</v>
      </c>
      <c r="G22" s="1">
        <v>37282</v>
      </c>
      <c r="H22" s="1">
        <v>30042</v>
      </c>
      <c r="I22" t="s">
        <v>16</v>
      </c>
      <c r="J22">
        <v>6834</v>
      </c>
      <c r="K22" s="3">
        <v>0.83</v>
      </c>
      <c r="L22" s="3">
        <v>0.64</v>
      </c>
    </row>
    <row r="23" spans="1:12" x14ac:dyDescent="0.3">
      <c r="A23">
        <v>84</v>
      </c>
      <c r="B23">
        <v>26442</v>
      </c>
      <c r="C23" t="s">
        <v>47</v>
      </c>
      <c r="D23" t="s">
        <v>35</v>
      </c>
      <c r="E23" t="s">
        <v>14</v>
      </c>
      <c r="F23" t="s">
        <v>28</v>
      </c>
      <c r="G23" s="1">
        <v>37975</v>
      </c>
      <c r="H23" s="1">
        <v>24969</v>
      </c>
      <c r="I23" t="s">
        <v>16</v>
      </c>
      <c r="J23">
        <v>1860</v>
      </c>
      <c r="K23" s="3">
        <v>0.89</v>
      </c>
      <c r="L23" s="3">
        <v>0.94</v>
      </c>
    </row>
    <row r="24" spans="1:12" x14ac:dyDescent="0.3">
      <c r="A24">
        <v>85</v>
      </c>
      <c r="B24">
        <v>25908</v>
      </c>
      <c r="C24" t="s">
        <v>49</v>
      </c>
      <c r="D24" t="s">
        <v>37</v>
      </c>
      <c r="E24" t="s">
        <v>14</v>
      </c>
      <c r="F24" t="s">
        <v>28</v>
      </c>
      <c r="G24" s="1">
        <v>38403</v>
      </c>
      <c r="H24" s="1">
        <v>26618</v>
      </c>
      <c r="I24" t="s">
        <v>16</v>
      </c>
      <c r="J24">
        <v>8730</v>
      </c>
      <c r="K24" s="3">
        <v>0.88</v>
      </c>
      <c r="L24" s="3">
        <v>0.95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9D0C-4AF9-4F79-A741-2E44D12D1123}">
  <sheetPr>
    <tabColor theme="4"/>
  </sheetPr>
  <dimension ref="A1:L11"/>
  <sheetViews>
    <sheetView showGridLines="0" workbookViewId="0"/>
  </sheetViews>
  <sheetFormatPr defaultRowHeight="14.4" x14ac:dyDescent="0.3"/>
  <cols>
    <col min="1" max="1" width="11.6640625" bestFit="1" customWidth="1"/>
    <col min="2" max="2" width="14.5546875" bestFit="1" customWidth="1"/>
    <col min="3" max="3" width="14.33203125" bestFit="1" customWidth="1"/>
    <col min="4" max="4" width="15.88671875" bestFit="1" customWidth="1"/>
    <col min="5" max="6" width="9.6640625" bestFit="1" customWidth="1"/>
    <col min="7" max="7" width="14.6640625" bestFit="1" customWidth="1"/>
    <col min="8" max="8" width="14.109375" bestFit="1" customWidth="1"/>
    <col min="9" max="9" width="15.6640625" bestFit="1" customWidth="1"/>
    <col min="10" max="10" width="9.5546875" bestFit="1" customWidth="1"/>
    <col min="11" max="12" width="13.109375" style="3" bestFit="1" customWidth="1"/>
  </cols>
  <sheetData>
    <row r="1" spans="1:12" x14ac:dyDescent="0.3">
      <c r="A1" s="2" t="s">
        <v>0</v>
      </c>
      <c r="B1" s="2" t="s">
        <v>1</v>
      </c>
      <c r="C1" s="2" t="s">
        <v>2</v>
      </c>
      <c r="D1" s="2" t="s">
        <v>3</v>
      </c>
      <c r="E1" s="2" t="s">
        <v>4</v>
      </c>
      <c r="F1" s="2" t="s">
        <v>5</v>
      </c>
      <c r="G1" s="2" t="s">
        <v>6</v>
      </c>
      <c r="H1" s="2" t="s">
        <v>7</v>
      </c>
      <c r="I1" s="2" t="s">
        <v>8</v>
      </c>
      <c r="J1" s="2" t="s">
        <v>9</v>
      </c>
      <c r="K1" s="3" t="s">
        <v>10</v>
      </c>
      <c r="L1" s="3" t="s">
        <v>11</v>
      </c>
    </row>
    <row r="2" spans="1:12" x14ac:dyDescent="0.3">
      <c r="A2">
        <v>4</v>
      </c>
      <c r="B2">
        <v>29769</v>
      </c>
      <c r="C2" t="s">
        <v>25</v>
      </c>
      <c r="D2" t="s">
        <v>26</v>
      </c>
      <c r="E2" t="s">
        <v>27</v>
      </c>
      <c r="F2" t="s">
        <v>28</v>
      </c>
      <c r="G2" s="1">
        <v>41499</v>
      </c>
      <c r="H2" s="1">
        <v>26494</v>
      </c>
      <c r="I2" t="s">
        <v>20</v>
      </c>
      <c r="J2">
        <v>26520</v>
      </c>
      <c r="K2" s="3">
        <v>0.81</v>
      </c>
      <c r="L2" s="3">
        <v>0.66</v>
      </c>
    </row>
    <row r="3" spans="1:12" x14ac:dyDescent="0.3">
      <c r="A3">
        <v>12</v>
      </c>
      <c r="B3">
        <v>26401</v>
      </c>
      <c r="C3" t="s">
        <v>44</v>
      </c>
      <c r="D3" t="s">
        <v>45</v>
      </c>
      <c r="E3" t="s">
        <v>27</v>
      </c>
      <c r="F3" t="s">
        <v>28</v>
      </c>
      <c r="G3" s="1">
        <v>42477</v>
      </c>
      <c r="H3" s="1">
        <v>25717</v>
      </c>
      <c r="I3" t="s">
        <v>16</v>
      </c>
      <c r="J3">
        <v>16455</v>
      </c>
      <c r="K3" s="3">
        <v>0.75</v>
      </c>
      <c r="L3" s="3">
        <v>0.92</v>
      </c>
    </row>
    <row r="4" spans="1:12" x14ac:dyDescent="0.3">
      <c r="A4">
        <v>13</v>
      </c>
      <c r="B4">
        <v>26435</v>
      </c>
      <c r="C4" t="s">
        <v>46</v>
      </c>
      <c r="D4" t="s">
        <v>45</v>
      </c>
      <c r="E4" t="s">
        <v>27</v>
      </c>
      <c r="F4" t="s">
        <v>24</v>
      </c>
      <c r="G4">
        <v>37131</v>
      </c>
      <c r="H4" s="1">
        <v>22910</v>
      </c>
      <c r="I4" t="s">
        <v>16</v>
      </c>
      <c r="J4">
        <v>4981</v>
      </c>
      <c r="K4" s="3">
        <v>0.77</v>
      </c>
      <c r="L4" s="3">
        <v>0.86</v>
      </c>
    </row>
    <row r="5" spans="1:12" x14ac:dyDescent="0.3">
      <c r="A5">
        <v>33</v>
      </c>
      <c r="B5">
        <v>26410</v>
      </c>
      <c r="C5" t="s">
        <v>68</v>
      </c>
      <c r="D5" t="s">
        <v>45</v>
      </c>
      <c r="E5" t="s">
        <v>27</v>
      </c>
      <c r="F5" t="s">
        <v>24</v>
      </c>
      <c r="G5">
        <v>42417</v>
      </c>
      <c r="H5" s="1">
        <v>27626</v>
      </c>
      <c r="I5" t="s">
        <v>16</v>
      </c>
      <c r="J5">
        <v>3165</v>
      </c>
      <c r="K5" s="3">
        <v>0.84</v>
      </c>
      <c r="L5" s="3">
        <v>0.78</v>
      </c>
    </row>
    <row r="6" spans="1:12" x14ac:dyDescent="0.3">
      <c r="A6">
        <v>34</v>
      </c>
      <c r="B6">
        <v>27385</v>
      </c>
      <c r="C6" t="s">
        <v>69</v>
      </c>
      <c r="D6" t="s">
        <v>45</v>
      </c>
      <c r="E6" t="s">
        <v>27</v>
      </c>
      <c r="F6" t="s">
        <v>15</v>
      </c>
      <c r="G6">
        <v>42462</v>
      </c>
      <c r="H6" s="1">
        <v>24785</v>
      </c>
      <c r="I6" t="s">
        <v>16</v>
      </c>
      <c r="J6">
        <v>20883</v>
      </c>
      <c r="K6" s="3">
        <v>0.85</v>
      </c>
      <c r="L6" s="3">
        <v>0.76</v>
      </c>
    </row>
    <row r="7" spans="1:12" x14ac:dyDescent="0.3">
      <c r="A7">
        <v>61</v>
      </c>
      <c r="B7">
        <v>26389</v>
      </c>
      <c r="C7" t="s">
        <v>61</v>
      </c>
      <c r="D7" t="s">
        <v>45</v>
      </c>
      <c r="E7" t="s">
        <v>27</v>
      </c>
      <c r="F7" t="s">
        <v>28</v>
      </c>
      <c r="G7">
        <v>43071</v>
      </c>
      <c r="H7" s="1">
        <v>21695</v>
      </c>
      <c r="I7" t="s">
        <v>16</v>
      </c>
      <c r="J7">
        <v>13380</v>
      </c>
      <c r="K7" s="3">
        <v>0.8</v>
      </c>
      <c r="L7" s="3">
        <v>0.72</v>
      </c>
    </row>
    <row r="8" spans="1:12" x14ac:dyDescent="0.3">
      <c r="A8">
        <v>62</v>
      </c>
      <c r="B8">
        <v>30459</v>
      </c>
      <c r="C8" t="s">
        <v>62</v>
      </c>
      <c r="D8" t="s">
        <v>45</v>
      </c>
      <c r="E8" t="s">
        <v>27</v>
      </c>
      <c r="F8" t="s">
        <v>24</v>
      </c>
      <c r="G8">
        <v>43444</v>
      </c>
      <c r="H8" s="1">
        <v>25438</v>
      </c>
      <c r="I8" t="s">
        <v>16</v>
      </c>
      <c r="J8">
        <v>18856</v>
      </c>
      <c r="K8" s="3">
        <v>0.81</v>
      </c>
      <c r="L8" s="3">
        <v>0.48</v>
      </c>
    </row>
    <row r="9" spans="1:12" x14ac:dyDescent="0.3">
      <c r="A9">
        <v>74</v>
      </c>
      <c r="B9">
        <v>27780</v>
      </c>
      <c r="C9" t="s">
        <v>21</v>
      </c>
      <c r="D9" t="s">
        <v>45</v>
      </c>
      <c r="E9" t="s">
        <v>27</v>
      </c>
      <c r="F9" t="s">
        <v>24</v>
      </c>
      <c r="G9" s="1">
        <v>42403</v>
      </c>
      <c r="H9" s="1">
        <v>30445</v>
      </c>
      <c r="I9" t="s">
        <v>16</v>
      </c>
      <c r="J9">
        <v>13891</v>
      </c>
      <c r="K9" s="3">
        <v>0.86</v>
      </c>
      <c r="L9" s="3">
        <v>0.97</v>
      </c>
    </row>
    <row r="10" spans="1:12" x14ac:dyDescent="0.3">
      <c r="A10">
        <v>75</v>
      </c>
      <c r="B10">
        <v>25907</v>
      </c>
      <c r="C10" t="s">
        <v>25</v>
      </c>
      <c r="D10" t="s">
        <v>45</v>
      </c>
      <c r="E10" t="s">
        <v>27</v>
      </c>
      <c r="F10" t="s">
        <v>15</v>
      </c>
      <c r="G10" s="1">
        <v>42417</v>
      </c>
      <c r="H10" s="1">
        <v>28157</v>
      </c>
      <c r="I10" t="s">
        <v>16</v>
      </c>
      <c r="J10">
        <v>19451</v>
      </c>
      <c r="K10" s="3">
        <v>0.77</v>
      </c>
      <c r="L10" s="3">
        <v>0.63</v>
      </c>
    </row>
    <row r="11" spans="1:12" x14ac:dyDescent="0.3">
      <c r="A11">
        <v>86</v>
      </c>
      <c r="B11">
        <v>27144</v>
      </c>
      <c r="C11" t="s">
        <v>51</v>
      </c>
      <c r="D11" t="s">
        <v>45</v>
      </c>
      <c r="E11" t="s">
        <v>27</v>
      </c>
      <c r="F11" t="s">
        <v>28</v>
      </c>
      <c r="G11" s="1">
        <v>39102</v>
      </c>
      <c r="H11" s="1">
        <v>24807</v>
      </c>
      <c r="I11" t="s">
        <v>16</v>
      </c>
      <c r="J11">
        <v>2185</v>
      </c>
      <c r="K11" s="3">
        <v>0.79</v>
      </c>
      <c r="L11" s="3">
        <v>0.65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648B-72BD-49ED-9467-BCC292B898CD}">
  <dimension ref="A1:Q101"/>
  <sheetViews>
    <sheetView topLeftCell="L31" zoomScale="88" zoomScaleNormal="88" workbookViewId="0">
      <selection activeCell="H11" sqref="H11"/>
    </sheetView>
  </sheetViews>
  <sheetFormatPr defaultRowHeight="14.4" x14ac:dyDescent="0.3"/>
  <cols>
    <col min="1" max="1" width="12.109375" style="2" bestFit="1" customWidth="1"/>
    <col min="2" max="2" width="15.44140625" style="2" bestFit="1" customWidth="1"/>
    <col min="3" max="3" width="15.109375" style="2" bestFit="1" customWidth="1"/>
    <col min="4" max="4" width="27.5546875" style="2" bestFit="1" customWidth="1"/>
    <col min="5" max="6" width="10.33203125" style="2" bestFit="1" customWidth="1"/>
    <col min="7" max="7" width="15" style="2" bestFit="1" customWidth="1"/>
    <col min="8" max="8" width="17.6640625" style="10" bestFit="1" customWidth="1"/>
    <col min="9" max="9" width="14.6640625" style="2" bestFit="1" customWidth="1"/>
    <col min="10" max="10" width="9.5546875" style="9" bestFit="1" customWidth="1"/>
    <col min="11" max="11" width="16.5546875" style="2" bestFit="1" customWidth="1"/>
    <col min="12" max="12" width="14.109375" style="15" bestFit="1" customWidth="1"/>
    <col min="13" max="14" width="15.6640625" style="4" bestFit="1" customWidth="1"/>
    <col min="15" max="15" width="19" style="12" bestFit="1" customWidth="1"/>
    <col min="16" max="16" width="20.6640625" style="4" bestFit="1" customWidth="1"/>
    <col min="17" max="17" width="19.5546875" style="4" bestFit="1" customWidth="1"/>
  </cols>
  <sheetData>
    <row r="1" spans="1:17" x14ac:dyDescent="0.3">
      <c r="A1" s="2" t="s">
        <v>0</v>
      </c>
      <c r="B1" s="2" t="s">
        <v>1</v>
      </c>
      <c r="C1" s="2" t="s">
        <v>2</v>
      </c>
      <c r="D1" s="2" t="s">
        <v>3</v>
      </c>
      <c r="E1" s="2" t="s">
        <v>4</v>
      </c>
      <c r="F1" s="2" t="s">
        <v>5</v>
      </c>
      <c r="G1" s="2" t="s">
        <v>6</v>
      </c>
      <c r="H1" s="10" t="s">
        <v>78</v>
      </c>
      <c r="I1" s="2" t="s">
        <v>7</v>
      </c>
      <c r="J1" s="9" t="s">
        <v>77</v>
      </c>
      <c r="K1" s="2" t="s">
        <v>8</v>
      </c>
      <c r="L1" s="15" t="s">
        <v>9</v>
      </c>
      <c r="M1" s="4" t="s">
        <v>79</v>
      </c>
      <c r="N1" s="4" t="s">
        <v>80</v>
      </c>
      <c r="O1" s="12" t="s">
        <v>81</v>
      </c>
      <c r="P1" s="4" t="s">
        <v>82</v>
      </c>
      <c r="Q1" t="s">
        <v>277</v>
      </c>
    </row>
    <row r="2" spans="1:17" x14ac:dyDescent="0.3">
      <c r="A2" s="2" t="s">
        <v>87</v>
      </c>
      <c r="B2" s="2" t="s">
        <v>88</v>
      </c>
      <c r="C2" s="2" t="s">
        <v>40</v>
      </c>
      <c r="D2" s="2" t="s">
        <v>41</v>
      </c>
      <c r="E2" s="2" t="s">
        <v>31</v>
      </c>
      <c r="F2" s="2" t="s">
        <v>15</v>
      </c>
      <c r="G2" s="5">
        <v>40362</v>
      </c>
      <c r="H2" s="10">
        <v>15</v>
      </c>
      <c r="I2" s="5">
        <v>25550</v>
      </c>
      <c r="J2" s="2">
        <v>55</v>
      </c>
      <c r="K2" s="2" t="s">
        <v>42</v>
      </c>
      <c r="L2" s="15">
        <v>17456</v>
      </c>
      <c r="M2" s="4">
        <v>0.87</v>
      </c>
      <c r="N2" s="4">
        <v>0.97</v>
      </c>
      <c r="O2" s="12">
        <v>0.92</v>
      </c>
      <c r="P2" s="4">
        <v>-0.1</v>
      </c>
      <c r="Q2" s="21" t="s">
        <v>279</v>
      </c>
    </row>
    <row r="3" spans="1:17" x14ac:dyDescent="0.3">
      <c r="A3" s="2" t="s">
        <v>118</v>
      </c>
      <c r="B3" s="2" t="s">
        <v>138</v>
      </c>
      <c r="C3" s="2" t="s">
        <v>29</v>
      </c>
      <c r="D3" s="2" t="s">
        <v>41</v>
      </c>
      <c r="E3" s="2" t="s">
        <v>31</v>
      </c>
      <c r="F3" s="2" t="s">
        <v>15</v>
      </c>
      <c r="G3" s="5">
        <v>40850</v>
      </c>
      <c r="H3" s="10">
        <v>13</v>
      </c>
      <c r="I3" s="5">
        <v>28621</v>
      </c>
      <c r="J3" s="2">
        <v>47</v>
      </c>
      <c r="K3" s="2" t="s">
        <v>42</v>
      </c>
      <c r="L3" s="15">
        <v>1428</v>
      </c>
      <c r="M3" s="4">
        <v>0.87</v>
      </c>
      <c r="N3" s="4">
        <v>0.96</v>
      </c>
      <c r="O3" s="12">
        <v>0.91500000000000004</v>
      </c>
      <c r="P3" s="4">
        <v>-0.09</v>
      </c>
      <c r="Q3" s="21" t="s">
        <v>296</v>
      </c>
    </row>
    <row r="4" spans="1:17" x14ac:dyDescent="0.3">
      <c r="A4" s="2" t="s">
        <v>196</v>
      </c>
      <c r="B4" s="2" t="s">
        <v>197</v>
      </c>
      <c r="C4" s="2" t="s">
        <v>21</v>
      </c>
      <c r="D4" s="2" t="s">
        <v>45</v>
      </c>
      <c r="E4" s="2" t="s">
        <v>27</v>
      </c>
      <c r="F4" s="2" t="s">
        <v>24</v>
      </c>
      <c r="G4" s="5">
        <v>42403</v>
      </c>
      <c r="H4" s="10">
        <v>9</v>
      </c>
      <c r="I4" s="5">
        <v>30445</v>
      </c>
      <c r="J4" s="2">
        <v>42</v>
      </c>
      <c r="K4" s="2" t="s">
        <v>16</v>
      </c>
      <c r="L4" s="15">
        <v>13891</v>
      </c>
      <c r="M4" s="4">
        <v>0.86</v>
      </c>
      <c r="N4" s="4">
        <v>0.97</v>
      </c>
      <c r="O4" s="12">
        <v>0.91500000000000004</v>
      </c>
      <c r="P4" s="4">
        <v>-0.11</v>
      </c>
      <c r="Q4" s="21" t="s">
        <v>322</v>
      </c>
    </row>
    <row r="5" spans="1:17" x14ac:dyDescent="0.3">
      <c r="A5" s="2" t="s">
        <v>230</v>
      </c>
      <c r="B5" s="2" t="s">
        <v>231</v>
      </c>
      <c r="C5" s="2" t="s">
        <v>47</v>
      </c>
      <c r="D5" s="2" t="s">
        <v>35</v>
      </c>
      <c r="E5" s="2" t="s">
        <v>14</v>
      </c>
      <c r="F5" s="2" t="s">
        <v>28</v>
      </c>
      <c r="G5" s="5">
        <v>37975</v>
      </c>
      <c r="H5" s="10">
        <v>21</v>
      </c>
      <c r="I5" s="5">
        <v>24969</v>
      </c>
      <c r="J5" s="2">
        <v>57</v>
      </c>
      <c r="K5" s="2" t="s">
        <v>16</v>
      </c>
      <c r="L5" s="15">
        <v>1860</v>
      </c>
      <c r="M5" s="4">
        <v>0.89</v>
      </c>
      <c r="N5" s="4">
        <v>0.94</v>
      </c>
      <c r="O5" s="12">
        <v>0.91500000000000004</v>
      </c>
      <c r="P5" s="4">
        <v>-4.9999999999999899E-2</v>
      </c>
      <c r="Q5" s="21" t="s">
        <v>346</v>
      </c>
    </row>
    <row r="6" spans="1:17" x14ac:dyDescent="0.3">
      <c r="A6" s="2" t="s">
        <v>232</v>
      </c>
      <c r="B6" s="2" t="s">
        <v>233</v>
      </c>
      <c r="C6" s="2" t="s">
        <v>49</v>
      </c>
      <c r="D6" s="2" t="s">
        <v>37</v>
      </c>
      <c r="E6" s="2" t="s">
        <v>14</v>
      </c>
      <c r="F6" s="2" t="s">
        <v>28</v>
      </c>
      <c r="G6" s="5">
        <v>38403</v>
      </c>
      <c r="H6" s="10">
        <v>20</v>
      </c>
      <c r="I6" s="5">
        <v>26618</v>
      </c>
      <c r="J6" s="2">
        <v>52</v>
      </c>
      <c r="K6" s="2" t="s">
        <v>16</v>
      </c>
      <c r="L6" s="15">
        <v>8730</v>
      </c>
      <c r="M6" s="4">
        <v>0.88</v>
      </c>
      <c r="N6" s="4">
        <v>0.95</v>
      </c>
      <c r="O6" s="12">
        <v>0.91500000000000004</v>
      </c>
      <c r="P6" s="4">
        <v>-7.0000000000000007E-2</v>
      </c>
      <c r="Q6" s="21" t="s">
        <v>347</v>
      </c>
    </row>
    <row r="7" spans="1:17" x14ac:dyDescent="0.3">
      <c r="A7" s="2" t="s">
        <v>113</v>
      </c>
      <c r="B7" s="2" t="s">
        <v>114</v>
      </c>
      <c r="C7" s="2" t="s">
        <v>57</v>
      </c>
      <c r="D7" s="2" t="s">
        <v>41</v>
      </c>
      <c r="E7" s="2" t="s">
        <v>31</v>
      </c>
      <c r="F7" s="2" t="s">
        <v>28</v>
      </c>
      <c r="G7" s="5">
        <v>42105</v>
      </c>
      <c r="H7" s="10">
        <v>10</v>
      </c>
      <c r="I7" s="5">
        <v>30808</v>
      </c>
      <c r="J7" s="2">
        <v>41</v>
      </c>
      <c r="K7" s="2" t="s">
        <v>42</v>
      </c>
      <c r="L7" s="15">
        <v>15173</v>
      </c>
      <c r="M7" s="4">
        <v>0.85</v>
      </c>
      <c r="N7" s="4">
        <v>0.96</v>
      </c>
      <c r="O7" s="12">
        <v>0.90500000000000003</v>
      </c>
      <c r="P7" s="4">
        <v>-0.11</v>
      </c>
      <c r="Q7" s="21" t="s">
        <v>287</v>
      </c>
    </row>
    <row r="8" spans="1:17" x14ac:dyDescent="0.3">
      <c r="A8" s="2" t="s">
        <v>258</v>
      </c>
      <c r="B8" s="2" t="s">
        <v>259</v>
      </c>
      <c r="C8" s="2" t="s">
        <v>64</v>
      </c>
      <c r="D8" s="2" t="s">
        <v>50</v>
      </c>
      <c r="E8" s="2" t="s">
        <v>19</v>
      </c>
      <c r="F8" s="2" t="s">
        <v>28</v>
      </c>
      <c r="G8" s="5">
        <v>43463</v>
      </c>
      <c r="H8" s="10">
        <v>6</v>
      </c>
      <c r="I8" s="5">
        <v>27167</v>
      </c>
      <c r="J8" s="2">
        <v>51</v>
      </c>
      <c r="K8" s="2" t="s">
        <v>16</v>
      </c>
      <c r="L8" s="15">
        <v>15454</v>
      </c>
      <c r="M8" s="4">
        <v>0.87</v>
      </c>
      <c r="N8" s="4">
        <v>0.94</v>
      </c>
      <c r="O8" s="12">
        <v>0.90500000000000003</v>
      </c>
      <c r="P8" s="4">
        <v>-7.0000000000000007E-2</v>
      </c>
      <c r="Q8" s="21" t="s">
        <v>365</v>
      </c>
    </row>
    <row r="9" spans="1:17" x14ac:dyDescent="0.3">
      <c r="A9" s="2" t="s">
        <v>86</v>
      </c>
      <c r="B9" s="2" t="s">
        <v>254</v>
      </c>
      <c r="C9" s="2" t="s">
        <v>38</v>
      </c>
      <c r="D9" s="2" t="s">
        <v>50</v>
      </c>
      <c r="E9" s="2" t="s">
        <v>19</v>
      </c>
      <c r="F9" s="2" t="s">
        <v>28</v>
      </c>
      <c r="G9" s="5">
        <v>42084</v>
      </c>
      <c r="H9" s="10">
        <v>10</v>
      </c>
      <c r="I9" s="5">
        <v>25856</v>
      </c>
      <c r="J9" s="2">
        <v>54</v>
      </c>
      <c r="K9" s="2" t="s">
        <v>16</v>
      </c>
      <c r="L9" s="15">
        <v>5067</v>
      </c>
      <c r="M9" s="4">
        <v>0.86</v>
      </c>
      <c r="N9" s="4">
        <v>0.94</v>
      </c>
      <c r="O9" s="12">
        <v>0.9</v>
      </c>
      <c r="P9" s="4">
        <v>-0.08</v>
      </c>
      <c r="Q9" s="21" t="s">
        <v>362</v>
      </c>
    </row>
    <row r="10" spans="1:17" x14ac:dyDescent="0.3">
      <c r="A10" s="2" t="s">
        <v>151</v>
      </c>
      <c r="B10" s="2" t="s">
        <v>152</v>
      </c>
      <c r="C10" s="2" t="s">
        <v>73</v>
      </c>
      <c r="D10" s="2" t="s">
        <v>41</v>
      </c>
      <c r="E10" s="2" t="s">
        <v>31</v>
      </c>
      <c r="F10" s="2" t="s">
        <v>28</v>
      </c>
      <c r="G10" s="5">
        <v>40952</v>
      </c>
      <c r="H10" s="10">
        <v>13</v>
      </c>
      <c r="I10" s="5">
        <v>29256</v>
      </c>
      <c r="J10" s="2">
        <v>45</v>
      </c>
      <c r="K10" s="2" t="s">
        <v>42</v>
      </c>
      <c r="L10" s="15">
        <v>18091</v>
      </c>
      <c r="M10" s="4">
        <v>0.84</v>
      </c>
      <c r="N10" s="4">
        <v>0.91</v>
      </c>
      <c r="O10" s="12">
        <v>0.875</v>
      </c>
      <c r="P10" s="4">
        <v>-7.0000000000000104E-2</v>
      </c>
      <c r="Q10" s="21" t="s">
        <v>302</v>
      </c>
    </row>
    <row r="11" spans="1:17" x14ac:dyDescent="0.3">
      <c r="A11" s="2" t="s">
        <v>125</v>
      </c>
      <c r="B11" s="2" t="s">
        <v>126</v>
      </c>
      <c r="C11" s="2" t="s">
        <v>72</v>
      </c>
      <c r="D11" s="2" t="s">
        <v>41</v>
      </c>
      <c r="E11" s="2" t="s">
        <v>31</v>
      </c>
      <c r="F11" s="2" t="s">
        <v>28</v>
      </c>
      <c r="G11" s="5">
        <v>43121</v>
      </c>
      <c r="H11" s="10">
        <v>7</v>
      </c>
      <c r="I11" s="5">
        <v>29256</v>
      </c>
      <c r="J11" s="2">
        <v>45</v>
      </c>
      <c r="K11" s="2" t="s">
        <v>42</v>
      </c>
      <c r="L11" s="15">
        <v>23467</v>
      </c>
      <c r="M11" s="4">
        <v>0.79</v>
      </c>
      <c r="N11" s="4">
        <v>0.95</v>
      </c>
      <c r="O11" s="12">
        <v>0.87</v>
      </c>
      <c r="P11" s="4">
        <v>-0.16</v>
      </c>
      <c r="Q11" s="21" t="s">
        <v>291</v>
      </c>
    </row>
    <row r="12" spans="1:17" x14ac:dyDescent="0.3">
      <c r="A12" s="2" t="s">
        <v>168</v>
      </c>
      <c r="B12" s="2" t="s">
        <v>248</v>
      </c>
      <c r="C12" s="2" t="s">
        <v>59</v>
      </c>
      <c r="D12" s="2" t="s">
        <v>50</v>
      </c>
      <c r="E12" s="2" t="s">
        <v>19</v>
      </c>
      <c r="F12" s="2" t="s">
        <v>28</v>
      </c>
      <c r="G12" s="5">
        <v>42483</v>
      </c>
      <c r="H12" s="10">
        <v>9</v>
      </c>
      <c r="I12" s="5">
        <v>25924</v>
      </c>
      <c r="J12" s="2">
        <v>54</v>
      </c>
      <c r="K12" s="2" t="s">
        <v>16</v>
      </c>
      <c r="L12" s="15">
        <v>16742</v>
      </c>
      <c r="M12" s="4">
        <v>0.87</v>
      </c>
      <c r="N12" s="4">
        <v>0.87</v>
      </c>
      <c r="O12" s="12">
        <v>0.87</v>
      </c>
      <c r="P12" s="4">
        <v>0</v>
      </c>
      <c r="Q12" s="21" t="s">
        <v>357</v>
      </c>
    </row>
    <row r="13" spans="1:17" x14ac:dyDescent="0.3">
      <c r="A13" s="2" t="s">
        <v>237</v>
      </c>
      <c r="B13" s="2" t="s">
        <v>238</v>
      </c>
      <c r="C13" s="2" t="s">
        <v>65</v>
      </c>
      <c r="D13" s="2" t="s">
        <v>39</v>
      </c>
      <c r="E13" s="2" t="s">
        <v>23</v>
      </c>
      <c r="F13" s="2" t="s">
        <v>28</v>
      </c>
      <c r="G13" s="5">
        <v>41749</v>
      </c>
      <c r="H13" s="10">
        <v>11</v>
      </c>
      <c r="I13" s="5">
        <v>23688</v>
      </c>
      <c r="J13" s="2">
        <v>60</v>
      </c>
      <c r="K13" s="2" t="s">
        <v>16</v>
      </c>
      <c r="L13" s="15">
        <v>5578</v>
      </c>
      <c r="M13" s="4">
        <v>0.76</v>
      </c>
      <c r="N13" s="4">
        <v>0.97</v>
      </c>
      <c r="O13" s="12">
        <v>0.86499999999999999</v>
      </c>
      <c r="P13" s="4">
        <v>-0.21</v>
      </c>
      <c r="Q13" s="21" t="s">
        <v>350</v>
      </c>
    </row>
    <row r="14" spans="1:17" x14ac:dyDescent="0.3">
      <c r="A14" s="2" t="s">
        <v>237</v>
      </c>
      <c r="B14" s="2" t="s">
        <v>238</v>
      </c>
      <c r="C14" s="2" t="s">
        <v>65</v>
      </c>
      <c r="D14" s="2" t="s">
        <v>39</v>
      </c>
      <c r="E14" s="2" t="s">
        <v>23</v>
      </c>
      <c r="F14" s="2" t="s">
        <v>28</v>
      </c>
      <c r="G14" s="5">
        <v>41749</v>
      </c>
      <c r="H14" s="10">
        <v>11</v>
      </c>
      <c r="I14" s="5">
        <v>23688</v>
      </c>
      <c r="J14" s="2">
        <v>60</v>
      </c>
      <c r="K14" s="2" t="s">
        <v>16</v>
      </c>
      <c r="L14" s="15">
        <v>5578</v>
      </c>
      <c r="M14" s="4">
        <v>0.76</v>
      </c>
      <c r="N14" s="4">
        <v>0.97</v>
      </c>
      <c r="O14" s="12">
        <v>0.86499999999999999</v>
      </c>
      <c r="P14" s="4">
        <v>-0.21</v>
      </c>
      <c r="Q14" s="21" t="s">
        <v>350</v>
      </c>
    </row>
    <row r="15" spans="1:17" x14ac:dyDescent="0.3">
      <c r="A15" s="2" t="s">
        <v>244</v>
      </c>
      <c r="B15" s="2" t="s">
        <v>245</v>
      </c>
      <c r="C15" s="2" t="s">
        <v>17</v>
      </c>
      <c r="D15" s="2" t="s">
        <v>18</v>
      </c>
      <c r="E15" s="2" t="s">
        <v>19</v>
      </c>
      <c r="F15" s="2" t="s">
        <v>15</v>
      </c>
      <c r="G15" s="5">
        <v>40919</v>
      </c>
      <c r="H15" s="10">
        <v>13</v>
      </c>
      <c r="I15" s="5">
        <v>23989</v>
      </c>
      <c r="J15" s="2">
        <v>60</v>
      </c>
      <c r="K15" s="2" t="s">
        <v>20</v>
      </c>
      <c r="L15" s="15">
        <v>21575</v>
      </c>
      <c r="M15" s="4">
        <v>0.86</v>
      </c>
      <c r="N15" s="4">
        <v>0.87</v>
      </c>
      <c r="O15" s="12">
        <v>0.86499999999999999</v>
      </c>
      <c r="P15" s="4">
        <v>-0.01</v>
      </c>
      <c r="Q15" s="21" t="s">
        <v>354</v>
      </c>
    </row>
    <row r="16" spans="1:17" x14ac:dyDescent="0.3">
      <c r="A16" s="2" t="s">
        <v>193</v>
      </c>
      <c r="B16" s="2" t="s">
        <v>262</v>
      </c>
      <c r="C16" s="2" t="s">
        <v>66</v>
      </c>
      <c r="D16" s="2" t="s">
        <v>50</v>
      </c>
      <c r="E16" s="2" t="s">
        <v>19</v>
      </c>
      <c r="F16" s="2" t="s">
        <v>15</v>
      </c>
      <c r="G16" s="5">
        <v>37817</v>
      </c>
      <c r="H16" s="10">
        <v>22</v>
      </c>
      <c r="I16" s="5">
        <v>23708</v>
      </c>
      <c r="J16" s="2">
        <v>60</v>
      </c>
      <c r="K16" s="2" t="s">
        <v>16</v>
      </c>
      <c r="L16" s="15">
        <v>15992</v>
      </c>
      <c r="M16" s="4">
        <v>0.82</v>
      </c>
      <c r="N16" s="4">
        <v>0.91</v>
      </c>
      <c r="O16" s="12">
        <v>0.86499999999999999</v>
      </c>
      <c r="P16" s="4">
        <v>-9.0000000000000094E-2</v>
      </c>
      <c r="Q16" s="21" t="s">
        <v>367</v>
      </c>
    </row>
    <row r="17" spans="1:17" x14ac:dyDescent="0.3">
      <c r="A17" s="2" t="s">
        <v>90</v>
      </c>
      <c r="B17" s="2" t="s">
        <v>217</v>
      </c>
      <c r="C17" s="2" t="s">
        <v>54</v>
      </c>
      <c r="D17" s="2" t="s">
        <v>33</v>
      </c>
      <c r="E17" s="2" t="s">
        <v>14</v>
      </c>
      <c r="F17" s="2" t="s">
        <v>28</v>
      </c>
      <c r="G17" s="5">
        <v>41977</v>
      </c>
      <c r="H17" s="10">
        <v>10</v>
      </c>
      <c r="I17" s="5">
        <v>29527</v>
      </c>
      <c r="J17" s="2">
        <v>44</v>
      </c>
      <c r="K17" s="2" t="s">
        <v>16</v>
      </c>
      <c r="L17" s="15">
        <v>3453</v>
      </c>
      <c r="M17" s="4">
        <v>0.87</v>
      </c>
      <c r="N17" s="4">
        <v>0.83</v>
      </c>
      <c r="O17" s="12">
        <v>0.85</v>
      </c>
      <c r="P17" s="4">
        <v>0.04</v>
      </c>
      <c r="Q17" s="21" t="s">
        <v>338</v>
      </c>
    </row>
    <row r="18" spans="1:17" x14ac:dyDescent="0.3">
      <c r="A18" s="2" t="s">
        <v>234</v>
      </c>
      <c r="B18" s="2" t="s">
        <v>235</v>
      </c>
      <c r="C18" s="2" t="s">
        <v>21</v>
      </c>
      <c r="D18" s="2" t="s">
        <v>22</v>
      </c>
      <c r="E18" s="2" t="s">
        <v>23</v>
      </c>
      <c r="F18" s="2" t="s">
        <v>24</v>
      </c>
      <c r="G18" s="5">
        <v>41498</v>
      </c>
      <c r="H18" s="10">
        <v>12</v>
      </c>
      <c r="I18" s="5">
        <v>29990</v>
      </c>
      <c r="J18" s="2">
        <v>43</v>
      </c>
      <c r="K18" s="2" t="s">
        <v>20</v>
      </c>
      <c r="L18" s="15">
        <v>25000</v>
      </c>
      <c r="M18" s="4">
        <v>0.8</v>
      </c>
      <c r="N18" s="4">
        <v>0.9</v>
      </c>
      <c r="O18" s="12">
        <v>0.85</v>
      </c>
      <c r="P18" s="4">
        <v>-0.1</v>
      </c>
      <c r="Q18" s="21" t="s">
        <v>348</v>
      </c>
    </row>
    <row r="19" spans="1:17" x14ac:dyDescent="0.3">
      <c r="A19" s="2" t="s">
        <v>234</v>
      </c>
      <c r="B19" s="2" t="s">
        <v>235</v>
      </c>
      <c r="C19" s="2" t="s">
        <v>21</v>
      </c>
      <c r="D19" s="2" t="s">
        <v>22</v>
      </c>
      <c r="E19" s="2" t="s">
        <v>23</v>
      </c>
      <c r="F19" s="2" t="s">
        <v>24</v>
      </c>
      <c r="G19" s="5">
        <v>41498</v>
      </c>
      <c r="H19" s="10">
        <v>12</v>
      </c>
      <c r="I19" s="5">
        <v>29990</v>
      </c>
      <c r="J19" s="2">
        <v>43</v>
      </c>
      <c r="K19" s="2" t="s">
        <v>20</v>
      </c>
      <c r="L19" s="15">
        <v>25000</v>
      </c>
      <c r="M19" s="4">
        <v>0.8</v>
      </c>
      <c r="N19" s="4">
        <v>0.9</v>
      </c>
      <c r="O19" s="12">
        <v>0.85</v>
      </c>
      <c r="P19" s="4">
        <v>-0.1</v>
      </c>
      <c r="Q19" s="21" t="s">
        <v>348</v>
      </c>
    </row>
    <row r="20" spans="1:17" x14ac:dyDescent="0.3">
      <c r="A20" s="2" t="s">
        <v>202</v>
      </c>
      <c r="B20" s="2" t="s">
        <v>203</v>
      </c>
      <c r="C20" s="2" t="s">
        <v>12</v>
      </c>
      <c r="D20" s="2" t="s">
        <v>13</v>
      </c>
      <c r="E20" s="2" t="s">
        <v>14</v>
      </c>
      <c r="F20" s="2" t="s">
        <v>15</v>
      </c>
      <c r="G20" s="5">
        <v>39036</v>
      </c>
      <c r="H20" s="10">
        <v>18</v>
      </c>
      <c r="I20" s="5">
        <v>29537</v>
      </c>
      <c r="J20" s="2">
        <v>44</v>
      </c>
      <c r="K20" s="2" t="s">
        <v>16</v>
      </c>
      <c r="L20" s="15">
        <v>20500</v>
      </c>
      <c r="M20" s="4">
        <v>0.82</v>
      </c>
      <c r="N20" s="4">
        <v>0.86</v>
      </c>
      <c r="O20" s="12">
        <v>0.84</v>
      </c>
      <c r="P20" s="4">
        <v>-0.04</v>
      </c>
      <c r="Q20" s="21" t="s">
        <v>325</v>
      </c>
    </row>
    <row r="21" spans="1:17" x14ac:dyDescent="0.3">
      <c r="A21" s="2" t="s">
        <v>85</v>
      </c>
      <c r="B21" s="2" t="s">
        <v>249</v>
      </c>
      <c r="C21" s="2" t="s">
        <v>60</v>
      </c>
      <c r="D21" s="2" t="s">
        <v>50</v>
      </c>
      <c r="E21" s="2" t="s">
        <v>19</v>
      </c>
      <c r="F21" s="2" t="s">
        <v>28</v>
      </c>
      <c r="G21" s="5">
        <v>42490</v>
      </c>
      <c r="H21" s="10">
        <v>9</v>
      </c>
      <c r="I21" s="5">
        <v>30587</v>
      </c>
      <c r="J21" s="2">
        <v>41</v>
      </c>
      <c r="K21" s="2" t="s">
        <v>16</v>
      </c>
      <c r="L21" s="15">
        <v>15635</v>
      </c>
      <c r="M21" s="4">
        <v>0.84</v>
      </c>
      <c r="N21" s="4">
        <v>0.84</v>
      </c>
      <c r="O21" s="12">
        <v>0.84</v>
      </c>
      <c r="P21" s="4">
        <v>0</v>
      </c>
      <c r="Q21" s="21" t="s">
        <v>358</v>
      </c>
    </row>
    <row r="22" spans="1:17" x14ac:dyDescent="0.3">
      <c r="A22" s="2" t="s">
        <v>101</v>
      </c>
      <c r="B22" s="2" t="s">
        <v>102</v>
      </c>
      <c r="C22" s="2" t="s">
        <v>53</v>
      </c>
      <c r="D22" s="2" t="s">
        <v>41</v>
      </c>
      <c r="E22" s="2" t="s">
        <v>31</v>
      </c>
      <c r="F22" s="2" t="s">
        <v>28</v>
      </c>
      <c r="G22" s="5">
        <v>41498</v>
      </c>
      <c r="H22" s="10">
        <v>12</v>
      </c>
      <c r="I22" s="5">
        <v>29664</v>
      </c>
      <c r="J22" s="2">
        <v>44</v>
      </c>
      <c r="K22" s="2" t="s">
        <v>42</v>
      </c>
      <c r="L22" s="15">
        <v>17215</v>
      </c>
      <c r="M22" s="4">
        <v>0.8</v>
      </c>
      <c r="N22" s="4">
        <v>0.87</v>
      </c>
      <c r="O22" s="12">
        <v>0.83499999999999996</v>
      </c>
      <c r="P22" s="4">
        <v>-7.0000000000000007E-2</v>
      </c>
      <c r="Q22" s="21" t="s">
        <v>283</v>
      </c>
    </row>
    <row r="23" spans="1:17" x14ac:dyDescent="0.3">
      <c r="A23" s="2" t="s">
        <v>177</v>
      </c>
      <c r="B23" s="2" t="s">
        <v>178</v>
      </c>
      <c r="C23" s="2" t="s">
        <v>58</v>
      </c>
      <c r="D23" s="2" t="s">
        <v>41</v>
      </c>
      <c r="E23" s="2" t="s">
        <v>31</v>
      </c>
      <c r="F23" s="2" t="s">
        <v>28</v>
      </c>
      <c r="G23" s="5">
        <v>41771</v>
      </c>
      <c r="H23" s="10">
        <v>11</v>
      </c>
      <c r="I23" s="5">
        <v>29985</v>
      </c>
      <c r="J23" s="2">
        <v>43</v>
      </c>
      <c r="K23" s="2" t="s">
        <v>42</v>
      </c>
      <c r="L23" s="15">
        <v>20019</v>
      </c>
      <c r="M23" s="4">
        <v>0.89</v>
      </c>
      <c r="N23" s="4">
        <v>0.78</v>
      </c>
      <c r="O23" s="12">
        <v>0.83499999999999996</v>
      </c>
      <c r="P23" s="4">
        <v>0.11</v>
      </c>
      <c r="Q23" s="21" t="s">
        <v>313</v>
      </c>
    </row>
    <row r="24" spans="1:17" x14ac:dyDescent="0.3">
      <c r="A24" s="2" t="s">
        <v>103</v>
      </c>
      <c r="B24" s="2" t="s">
        <v>183</v>
      </c>
      <c r="C24" s="2" t="s">
        <v>44</v>
      </c>
      <c r="D24" s="2" t="s">
        <v>45</v>
      </c>
      <c r="E24" s="2" t="s">
        <v>27</v>
      </c>
      <c r="F24" s="2" t="s">
        <v>28</v>
      </c>
      <c r="G24" s="5">
        <v>42477</v>
      </c>
      <c r="H24" s="10">
        <v>9</v>
      </c>
      <c r="I24" s="5">
        <v>25717</v>
      </c>
      <c r="J24" s="2">
        <v>55</v>
      </c>
      <c r="K24" s="2" t="s">
        <v>16</v>
      </c>
      <c r="L24" s="15">
        <v>16455</v>
      </c>
      <c r="M24" s="4">
        <v>0.75</v>
      </c>
      <c r="N24" s="4">
        <v>0.92</v>
      </c>
      <c r="O24" s="12">
        <v>0.83499999999999996</v>
      </c>
      <c r="P24" s="4">
        <v>-0.17</v>
      </c>
      <c r="Q24" s="21" t="s">
        <v>316</v>
      </c>
    </row>
    <row r="25" spans="1:17" x14ac:dyDescent="0.3">
      <c r="A25" s="2" t="s">
        <v>163</v>
      </c>
      <c r="B25" s="2" t="s">
        <v>210</v>
      </c>
      <c r="C25" s="2" t="s">
        <v>63</v>
      </c>
      <c r="D25" s="2" t="s">
        <v>35</v>
      </c>
      <c r="E25" s="2" t="s">
        <v>14</v>
      </c>
      <c r="F25" s="2" t="s">
        <v>15</v>
      </c>
      <c r="G25" s="5">
        <v>42597</v>
      </c>
      <c r="H25" s="10">
        <v>9</v>
      </c>
      <c r="I25" s="5">
        <v>29688</v>
      </c>
      <c r="J25" s="2">
        <v>44</v>
      </c>
      <c r="K25" s="2" t="s">
        <v>16</v>
      </c>
      <c r="L25" s="15">
        <v>16408</v>
      </c>
      <c r="M25" s="4">
        <v>0.76</v>
      </c>
      <c r="N25" s="4">
        <v>0.91</v>
      </c>
      <c r="O25" s="12">
        <v>0.83499999999999996</v>
      </c>
      <c r="P25" s="4">
        <v>-0.15</v>
      </c>
      <c r="Q25" s="21" t="s">
        <v>331</v>
      </c>
    </row>
    <row r="26" spans="1:17" x14ac:dyDescent="0.3">
      <c r="A26" s="2" t="s">
        <v>97</v>
      </c>
      <c r="B26" s="2" t="s">
        <v>246</v>
      </c>
      <c r="C26" s="2" t="s">
        <v>47</v>
      </c>
      <c r="D26" s="2" t="s">
        <v>48</v>
      </c>
      <c r="E26" s="2" t="s">
        <v>19</v>
      </c>
      <c r="F26" s="2" t="s">
        <v>28</v>
      </c>
      <c r="G26" s="5">
        <v>38398</v>
      </c>
      <c r="H26" s="10">
        <v>20</v>
      </c>
      <c r="I26" s="5">
        <v>23333</v>
      </c>
      <c r="J26" s="2">
        <v>61</v>
      </c>
      <c r="K26" s="2" t="s">
        <v>16</v>
      </c>
      <c r="L26" s="15">
        <v>19023</v>
      </c>
      <c r="M26" s="4">
        <v>0.78</v>
      </c>
      <c r="N26" s="4">
        <v>0.89</v>
      </c>
      <c r="O26" s="12">
        <v>0.83499999999999996</v>
      </c>
      <c r="P26" s="4">
        <v>-0.11</v>
      </c>
      <c r="Q26" s="21" t="s">
        <v>355</v>
      </c>
    </row>
    <row r="27" spans="1:17" x14ac:dyDescent="0.3">
      <c r="A27" s="2" t="s">
        <v>107</v>
      </c>
      <c r="B27" s="2" t="s">
        <v>218</v>
      </c>
      <c r="C27" s="2" t="s">
        <v>55</v>
      </c>
      <c r="D27" s="2" t="s">
        <v>35</v>
      </c>
      <c r="E27" s="2" t="s">
        <v>14</v>
      </c>
      <c r="F27" s="2" t="s">
        <v>28</v>
      </c>
      <c r="G27" s="5">
        <v>42053</v>
      </c>
      <c r="H27" s="10">
        <v>10</v>
      </c>
      <c r="I27" s="5">
        <v>27098</v>
      </c>
      <c r="J27" s="2">
        <v>51</v>
      </c>
      <c r="K27" s="2" t="s">
        <v>16</v>
      </c>
      <c r="L27" s="15">
        <v>14170</v>
      </c>
      <c r="M27" s="4">
        <v>0.77</v>
      </c>
      <c r="N27" s="4">
        <v>0.89</v>
      </c>
      <c r="O27" s="12">
        <v>0.83</v>
      </c>
      <c r="P27" s="4">
        <v>-0.12</v>
      </c>
      <c r="Q27" s="21" t="s">
        <v>339</v>
      </c>
    </row>
    <row r="28" spans="1:17" x14ac:dyDescent="0.3">
      <c r="A28" s="2" t="s">
        <v>191</v>
      </c>
      <c r="B28" s="2" t="s">
        <v>219</v>
      </c>
      <c r="C28" s="2" t="s">
        <v>56</v>
      </c>
      <c r="D28" s="2" t="s">
        <v>37</v>
      </c>
      <c r="E28" s="2" t="s">
        <v>14</v>
      </c>
      <c r="F28" s="2" t="s">
        <v>24</v>
      </c>
      <c r="G28" s="5">
        <v>42597</v>
      </c>
      <c r="H28" s="10">
        <v>9</v>
      </c>
      <c r="I28" s="5">
        <v>30987</v>
      </c>
      <c r="J28" s="2">
        <v>40</v>
      </c>
      <c r="K28" s="2" t="s">
        <v>16</v>
      </c>
      <c r="L28" s="15">
        <v>3254</v>
      </c>
      <c r="M28" s="4">
        <v>0.81</v>
      </c>
      <c r="N28" s="4">
        <v>0.85</v>
      </c>
      <c r="O28" s="12">
        <v>0.83</v>
      </c>
      <c r="P28" s="4">
        <v>-3.9999999999999897E-2</v>
      </c>
      <c r="Q28" s="21" t="s">
        <v>340</v>
      </c>
    </row>
    <row r="29" spans="1:17" x14ac:dyDescent="0.3">
      <c r="A29" s="2" t="s">
        <v>153</v>
      </c>
      <c r="B29" s="2" t="s">
        <v>154</v>
      </c>
      <c r="C29" s="2" t="s">
        <v>12</v>
      </c>
      <c r="D29" s="2" t="s">
        <v>41</v>
      </c>
      <c r="E29" s="2" t="s">
        <v>31</v>
      </c>
      <c r="F29" s="2" t="s">
        <v>28</v>
      </c>
      <c r="G29" s="5">
        <v>42036</v>
      </c>
      <c r="H29" s="10">
        <v>10</v>
      </c>
      <c r="I29" s="5">
        <v>26362</v>
      </c>
      <c r="J29" s="2">
        <v>53</v>
      </c>
      <c r="K29" s="2" t="s">
        <v>42</v>
      </c>
      <c r="L29" s="15">
        <v>21390</v>
      </c>
      <c r="M29" s="4">
        <v>0.76</v>
      </c>
      <c r="N29" s="4">
        <v>0.89</v>
      </c>
      <c r="O29" s="12">
        <v>0.82499999999999996</v>
      </c>
      <c r="P29" s="4">
        <v>-0.13</v>
      </c>
      <c r="Q29" s="21" t="s">
        <v>303</v>
      </c>
    </row>
    <row r="30" spans="1:17" x14ac:dyDescent="0.3">
      <c r="A30" s="2" t="s">
        <v>166</v>
      </c>
      <c r="B30" s="2" t="s">
        <v>167</v>
      </c>
      <c r="C30" s="2" t="s">
        <v>44</v>
      </c>
      <c r="D30" s="2" t="s">
        <v>41</v>
      </c>
      <c r="E30" s="2" t="s">
        <v>31</v>
      </c>
      <c r="F30" s="2" t="s">
        <v>24</v>
      </c>
      <c r="G30" s="5">
        <v>36904</v>
      </c>
      <c r="H30" s="10">
        <v>24</v>
      </c>
      <c r="I30" s="5">
        <v>29124</v>
      </c>
      <c r="J30" s="2">
        <v>45</v>
      </c>
      <c r="K30" s="2" t="s">
        <v>42</v>
      </c>
      <c r="L30" s="15">
        <v>8138</v>
      </c>
      <c r="M30" s="4">
        <v>0.82</v>
      </c>
      <c r="N30" s="4">
        <v>0.83</v>
      </c>
      <c r="O30" s="12">
        <v>0.82499999999999996</v>
      </c>
      <c r="P30" s="4">
        <v>-0.01</v>
      </c>
      <c r="Q30" s="21" t="s">
        <v>308</v>
      </c>
    </row>
    <row r="31" spans="1:17" x14ac:dyDescent="0.3">
      <c r="A31" s="2" t="s">
        <v>124</v>
      </c>
      <c r="B31" s="2" t="s">
        <v>150</v>
      </c>
      <c r="C31" s="2" t="s">
        <v>60</v>
      </c>
      <c r="D31" s="2" t="s">
        <v>41</v>
      </c>
      <c r="E31" s="2" t="s">
        <v>31</v>
      </c>
      <c r="F31" s="2" t="s">
        <v>15</v>
      </c>
      <c r="G31" s="5">
        <v>41951</v>
      </c>
      <c r="H31" s="10">
        <v>10</v>
      </c>
      <c r="I31" s="5">
        <v>25803</v>
      </c>
      <c r="J31" s="2">
        <v>55</v>
      </c>
      <c r="K31" s="2" t="s">
        <v>42</v>
      </c>
      <c r="L31" s="15">
        <v>20603</v>
      </c>
      <c r="M31" s="4">
        <v>0.88</v>
      </c>
      <c r="N31" s="4">
        <v>0.76</v>
      </c>
      <c r="O31" s="12">
        <v>0.82</v>
      </c>
      <c r="P31" s="4">
        <v>0.12</v>
      </c>
      <c r="Q31" s="21" t="s">
        <v>301</v>
      </c>
    </row>
    <row r="32" spans="1:17" x14ac:dyDescent="0.3">
      <c r="A32" s="2" t="s">
        <v>139</v>
      </c>
      <c r="B32" s="2" t="s">
        <v>184</v>
      </c>
      <c r="C32" s="2" t="s">
        <v>46</v>
      </c>
      <c r="D32" s="2" t="s">
        <v>45</v>
      </c>
      <c r="E32" s="2" t="s">
        <v>27</v>
      </c>
      <c r="F32" s="2" t="s">
        <v>24</v>
      </c>
      <c r="G32" s="5">
        <v>37131</v>
      </c>
      <c r="H32" s="10">
        <v>24</v>
      </c>
      <c r="I32" s="5">
        <v>22910</v>
      </c>
      <c r="J32" s="2">
        <v>62</v>
      </c>
      <c r="K32" s="2" t="s">
        <v>16</v>
      </c>
      <c r="L32" s="15">
        <v>4981</v>
      </c>
      <c r="M32" s="4">
        <v>0.77</v>
      </c>
      <c r="N32" s="4">
        <v>0.86</v>
      </c>
      <c r="O32" s="12">
        <v>0.81499999999999995</v>
      </c>
      <c r="P32" s="4">
        <v>-0.09</v>
      </c>
      <c r="Q32" s="21" t="s">
        <v>317</v>
      </c>
    </row>
    <row r="33" spans="1:17" x14ac:dyDescent="0.3">
      <c r="A33" s="2" t="s">
        <v>186</v>
      </c>
      <c r="B33" s="2" t="s">
        <v>187</v>
      </c>
      <c r="C33" s="2" t="s">
        <v>68</v>
      </c>
      <c r="D33" s="2" t="s">
        <v>45</v>
      </c>
      <c r="E33" s="2" t="s">
        <v>27</v>
      </c>
      <c r="F33" s="2" t="s">
        <v>24</v>
      </c>
      <c r="G33" s="5">
        <v>42417</v>
      </c>
      <c r="H33" s="10">
        <v>9</v>
      </c>
      <c r="I33" s="5">
        <v>27626</v>
      </c>
      <c r="J33" s="2">
        <v>50</v>
      </c>
      <c r="K33" s="2" t="s">
        <v>16</v>
      </c>
      <c r="L33" s="15">
        <v>3165</v>
      </c>
      <c r="M33" s="4">
        <v>0.84</v>
      </c>
      <c r="N33" s="4">
        <v>0.78</v>
      </c>
      <c r="O33" s="12">
        <v>0.81</v>
      </c>
      <c r="P33" s="4">
        <v>5.9999999999999901E-2</v>
      </c>
      <c r="Q33" s="21" t="s">
        <v>318</v>
      </c>
    </row>
    <row r="34" spans="1:17" x14ac:dyDescent="0.3">
      <c r="A34" s="2" t="s">
        <v>189</v>
      </c>
      <c r="B34" s="2" t="s">
        <v>190</v>
      </c>
      <c r="C34" s="2" t="s">
        <v>69</v>
      </c>
      <c r="D34" s="2" t="s">
        <v>45</v>
      </c>
      <c r="E34" s="2" t="s">
        <v>27</v>
      </c>
      <c r="F34" s="2" t="s">
        <v>15</v>
      </c>
      <c r="G34" s="5">
        <v>42462</v>
      </c>
      <c r="H34" s="10">
        <v>9</v>
      </c>
      <c r="I34" s="5">
        <v>24785</v>
      </c>
      <c r="J34" s="2">
        <v>57</v>
      </c>
      <c r="K34" s="2" t="s">
        <v>16</v>
      </c>
      <c r="L34" s="15">
        <v>20883</v>
      </c>
      <c r="M34" s="4">
        <v>0.85</v>
      </c>
      <c r="N34" s="4">
        <v>0.76</v>
      </c>
      <c r="O34" s="12">
        <v>0.80500000000000005</v>
      </c>
      <c r="P34" s="4">
        <v>0.09</v>
      </c>
      <c r="Q34" s="21" t="s">
        <v>319</v>
      </c>
    </row>
    <row r="35" spans="1:17" x14ac:dyDescent="0.3">
      <c r="A35" s="2" t="s">
        <v>171</v>
      </c>
      <c r="B35" s="2" t="s">
        <v>172</v>
      </c>
      <c r="C35" s="2" t="s">
        <v>55</v>
      </c>
      <c r="D35" s="2" t="s">
        <v>41</v>
      </c>
      <c r="E35" s="2" t="s">
        <v>31</v>
      </c>
      <c r="F35" s="2" t="s">
        <v>28</v>
      </c>
      <c r="G35" s="5">
        <v>41378</v>
      </c>
      <c r="H35" s="10">
        <v>12</v>
      </c>
      <c r="I35" s="5">
        <v>26992</v>
      </c>
      <c r="J35" s="2">
        <v>51</v>
      </c>
      <c r="K35" s="2" t="s">
        <v>42</v>
      </c>
      <c r="L35" s="15">
        <v>8005</v>
      </c>
      <c r="M35" s="4">
        <v>0.85</v>
      </c>
      <c r="N35" s="4">
        <v>0.75</v>
      </c>
      <c r="O35" s="12">
        <v>0.8</v>
      </c>
      <c r="P35" s="4">
        <v>0.1</v>
      </c>
      <c r="Q35" s="21" t="s">
        <v>310</v>
      </c>
    </row>
    <row r="36" spans="1:17" x14ac:dyDescent="0.3">
      <c r="A36" s="2" t="s">
        <v>98</v>
      </c>
      <c r="B36" s="2" t="s">
        <v>216</v>
      </c>
      <c r="C36" s="2" t="s">
        <v>53</v>
      </c>
      <c r="D36" s="2" t="s">
        <v>35</v>
      </c>
      <c r="E36" s="2" t="s">
        <v>14</v>
      </c>
      <c r="F36" s="2" t="s">
        <v>15</v>
      </c>
      <c r="G36" s="5">
        <v>41748</v>
      </c>
      <c r="H36" s="10">
        <v>11</v>
      </c>
      <c r="I36" s="5">
        <v>25434</v>
      </c>
      <c r="J36" s="2">
        <v>56</v>
      </c>
      <c r="K36" s="2" t="s">
        <v>16</v>
      </c>
      <c r="L36" s="15">
        <v>8529</v>
      </c>
      <c r="M36" s="4">
        <v>0.83</v>
      </c>
      <c r="N36" s="4">
        <v>0.77</v>
      </c>
      <c r="O36" s="12">
        <v>0.8</v>
      </c>
      <c r="P36" s="4">
        <v>5.9999999999999901E-2</v>
      </c>
      <c r="Q36" s="21" t="s">
        <v>337</v>
      </c>
    </row>
    <row r="37" spans="1:17" x14ac:dyDescent="0.3">
      <c r="A37" s="2" t="s">
        <v>175</v>
      </c>
      <c r="B37" s="2" t="s">
        <v>176</v>
      </c>
      <c r="C37" s="2" t="s">
        <v>57</v>
      </c>
      <c r="D37" s="2" t="s">
        <v>41</v>
      </c>
      <c r="E37" s="2" t="s">
        <v>31</v>
      </c>
      <c r="F37" s="2" t="s">
        <v>28</v>
      </c>
      <c r="G37" s="5">
        <v>41730</v>
      </c>
      <c r="H37" s="10">
        <v>11</v>
      </c>
      <c r="I37" s="5">
        <v>25254</v>
      </c>
      <c r="J37" s="2">
        <v>56</v>
      </c>
      <c r="K37" s="2" t="s">
        <v>42</v>
      </c>
      <c r="L37" s="15">
        <v>23284</v>
      </c>
      <c r="M37" s="4">
        <v>0.75</v>
      </c>
      <c r="N37" s="4">
        <v>0.84</v>
      </c>
      <c r="O37" s="12">
        <v>0.79500000000000004</v>
      </c>
      <c r="P37" s="4">
        <v>-0.09</v>
      </c>
      <c r="Q37" s="21" t="s">
        <v>312</v>
      </c>
    </row>
    <row r="38" spans="1:17" x14ac:dyDescent="0.3">
      <c r="A38" s="2" t="s">
        <v>240</v>
      </c>
      <c r="B38" s="2" t="s">
        <v>241</v>
      </c>
      <c r="C38" s="2" t="s">
        <v>57</v>
      </c>
      <c r="D38" s="2" t="s">
        <v>39</v>
      </c>
      <c r="E38" s="2" t="s">
        <v>23</v>
      </c>
      <c r="F38" s="2" t="s">
        <v>24</v>
      </c>
      <c r="G38" s="5">
        <v>42598</v>
      </c>
      <c r="H38" s="10">
        <v>9</v>
      </c>
      <c r="I38" s="5">
        <v>25876</v>
      </c>
      <c r="J38" s="2">
        <v>54</v>
      </c>
      <c r="K38" s="2" t="s">
        <v>16</v>
      </c>
      <c r="L38" s="15">
        <v>1952</v>
      </c>
      <c r="M38" s="4">
        <v>0.83</v>
      </c>
      <c r="N38" s="4">
        <v>0.76</v>
      </c>
      <c r="O38" s="12">
        <v>0.79500000000000004</v>
      </c>
      <c r="P38" s="4">
        <v>7.0000000000000007E-2</v>
      </c>
      <c r="Q38" s="21" t="s">
        <v>352</v>
      </c>
    </row>
    <row r="39" spans="1:17" x14ac:dyDescent="0.3">
      <c r="A39" s="2" t="s">
        <v>240</v>
      </c>
      <c r="B39" s="2" t="s">
        <v>241</v>
      </c>
      <c r="C39" s="2" t="s">
        <v>57</v>
      </c>
      <c r="D39" s="2" t="s">
        <v>39</v>
      </c>
      <c r="E39" s="2" t="s">
        <v>23</v>
      </c>
      <c r="F39" s="2" t="s">
        <v>24</v>
      </c>
      <c r="G39" s="5">
        <v>42598</v>
      </c>
      <c r="H39" s="10">
        <v>9</v>
      </c>
      <c r="I39" s="5">
        <v>25876</v>
      </c>
      <c r="J39" s="2">
        <v>54</v>
      </c>
      <c r="K39" s="2" t="s">
        <v>16</v>
      </c>
      <c r="L39" s="15">
        <v>1952</v>
      </c>
      <c r="M39" s="4">
        <v>0.83</v>
      </c>
      <c r="N39" s="4">
        <v>0.76</v>
      </c>
      <c r="O39" s="12">
        <v>0.79500000000000004</v>
      </c>
      <c r="P39" s="4">
        <v>7.0000000000000007E-2</v>
      </c>
      <c r="Q39" s="21" t="s">
        <v>352</v>
      </c>
    </row>
    <row r="40" spans="1:17" x14ac:dyDescent="0.3">
      <c r="A40" s="2" t="s">
        <v>146</v>
      </c>
      <c r="B40" s="2" t="s">
        <v>147</v>
      </c>
      <c r="C40" s="2" t="s">
        <v>51</v>
      </c>
      <c r="D40" s="2" t="s">
        <v>41</v>
      </c>
      <c r="E40" s="2" t="s">
        <v>31</v>
      </c>
      <c r="F40" s="2" t="s">
        <v>15</v>
      </c>
      <c r="G40" s="5">
        <v>39144</v>
      </c>
      <c r="H40" s="10">
        <v>18</v>
      </c>
      <c r="I40" s="5">
        <v>25356</v>
      </c>
      <c r="J40" s="2">
        <v>56</v>
      </c>
      <c r="K40" s="2" t="s">
        <v>42</v>
      </c>
      <c r="L40" s="15">
        <v>24004</v>
      </c>
      <c r="M40" s="4">
        <v>0.81</v>
      </c>
      <c r="N40" s="4">
        <v>0.77</v>
      </c>
      <c r="O40" s="12">
        <v>0.79</v>
      </c>
      <c r="P40" s="4">
        <v>0.04</v>
      </c>
      <c r="Q40" s="21" t="s">
        <v>299</v>
      </c>
    </row>
    <row r="41" spans="1:17" x14ac:dyDescent="0.3">
      <c r="A41" s="2" t="s">
        <v>160</v>
      </c>
      <c r="B41" s="2" t="s">
        <v>211</v>
      </c>
      <c r="C41" s="2" t="s">
        <v>64</v>
      </c>
      <c r="D41" s="2" t="s">
        <v>37</v>
      </c>
      <c r="E41" s="2" t="s">
        <v>14</v>
      </c>
      <c r="F41" s="2" t="s">
        <v>24</v>
      </c>
      <c r="G41" s="5">
        <v>35029</v>
      </c>
      <c r="H41" s="10">
        <v>29</v>
      </c>
      <c r="I41" s="5">
        <v>30178</v>
      </c>
      <c r="J41" s="2">
        <v>43</v>
      </c>
      <c r="K41" s="2" t="s">
        <v>16</v>
      </c>
      <c r="L41" s="15">
        <v>2323</v>
      </c>
      <c r="M41" s="4">
        <v>0.83</v>
      </c>
      <c r="N41" s="4">
        <v>0.75</v>
      </c>
      <c r="O41" s="12">
        <v>0.79</v>
      </c>
      <c r="P41" s="4">
        <v>0.08</v>
      </c>
      <c r="Q41" s="21" t="s">
        <v>332</v>
      </c>
    </row>
    <row r="42" spans="1:17" x14ac:dyDescent="0.3">
      <c r="A42" s="2" t="s">
        <v>93</v>
      </c>
      <c r="B42" s="2" t="s">
        <v>236</v>
      </c>
      <c r="C42" s="2" t="s">
        <v>38</v>
      </c>
      <c r="D42" s="2" t="s">
        <v>39</v>
      </c>
      <c r="E42" s="2" t="s">
        <v>23</v>
      </c>
      <c r="F42" s="2" t="s">
        <v>15</v>
      </c>
      <c r="G42" s="5">
        <v>39767</v>
      </c>
      <c r="H42" s="10">
        <v>16</v>
      </c>
      <c r="I42" s="5">
        <v>30733</v>
      </c>
      <c r="J42" s="2">
        <v>41</v>
      </c>
      <c r="K42" s="2" t="s">
        <v>16</v>
      </c>
      <c r="L42" s="15">
        <v>11492</v>
      </c>
      <c r="M42" s="4">
        <v>0.81</v>
      </c>
      <c r="N42" s="4">
        <v>0.77</v>
      </c>
      <c r="O42" s="12">
        <v>0.79</v>
      </c>
      <c r="P42" s="4">
        <v>0.04</v>
      </c>
      <c r="Q42" s="21" t="s">
        <v>349</v>
      </c>
    </row>
    <row r="43" spans="1:17" x14ac:dyDescent="0.3">
      <c r="A43" s="2" t="s">
        <v>93</v>
      </c>
      <c r="B43" s="2" t="s">
        <v>236</v>
      </c>
      <c r="C43" s="2" t="s">
        <v>38</v>
      </c>
      <c r="D43" s="2" t="s">
        <v>39</v>
      </c>
      <c r="E43" s="2" t="s">
        <v>23</v>
      </c>
      <c r="F43" s="2" t="s">
        <v>15</v>
      </c>
      <c r="G43" s="5">
        <v>39767</v>
      </c>
      <c r="H43" s="10">
        <v>16</v>
      </c>
      <c r="I43" s="5">
        <v>30733</v>
      </c>
      <c r="J43" s="2">
        <v>41</v>
      </c>
      <c r="K43" s="2" t="s">
        <v>16</v>
      </c>
      <c r="L43" s="15">
        <v>11492</v>
      </c>
      <c r="M43" s="4">
        <v>0.81</v>
      </c>
      <c r="N43" s="4">
        <v>0.77</v>
      </c>
      <c r="O43" s="12">
        <v>0.79</v>
      </c>
      <c r="P43" s="4">
        <v>0.04</v>
      </c>
      <c r="Q43" s="21" t="s">
        <v>349</v>
      </c>
    </row>
    <row r="44" spans="1:17" x14ac:dyDescent="0.3">
      <c r="A44" s="2" t="s">
        <v>156</v>
      </c>
      <c r="B44" s="2" t="s">
        <v>157</v>
      </c>
      <c r="C44" s="2" t="s">
        <v>36</v>
      </c>
      <c r="D44" s="2" t="s">
        <v>41</v>
      </c>
      <c r="E44" s="2" t="s">
        <v>31</v>
      </c>
      <c r="F44" s="2" t="s">
        <v>15</v>
      </c>
      <c r="G44" s="5">
        <v>42476</v>
      </c>
      <c r="H44" s="10">
        <v>9</v>
      </c>
      <c r="I44" s="5">
        <v>30536</v>
      </c>
      <c r="J44" s="2">
        <v>42</v>
      </c>
      <c r="K44" s="2" t="s">
        <v>42</v>
      </c>
      <c r="L44" s="15">
        <v>13943</v>
      </c>
      <c r="M44" s="4">
        <v>0.78</v>
      </c>
      <c r="N44" s="4">
        <v>0.78</v>
      </c>
      <c r="O44" s="12">
        <v>0.78</v>
      </c>
      <c r="P44" s="4">
        <v>0</v>
      </c>
      <c r="Q44" s="21" t="s">
        <v>304</v>
      </c>
    </row>
    <row r="45" spans="1:17" x14ac:dyDescent="0.3">
      <c r="A45" s="2" t="s">
        <v>206</v>
      </c>
      <c r="B45" s="2" t="s">
        <v>207</v>
      </c>
      <c r="C45" s="2" t="s">
        <v>36</v>
      </c>
      <c r="D45" s="2" t="s">
        <v>37</v>
      </c>
      <c r="E45" s="2" t="s">
        <v>14</v>
      </c>
      <c r="F45" s="2" t="s">
        <v>28</v>
      </c>
      <c r="G45" s="5">
        <v>39600</v>
      </c>
      <c r="H45" s="10">
        <v>17</v>
      </c>
      <c r="I45" s="5">
        <v>29625</v>
      </c>
      <c r="J45" s="2">
        <v>44</v>
      </c>
      <c r="K45" s="2" t="s">
        <v>16</v>
      </c>
      <c r="L45" s="15">
        <v>23537</v>
      </c>
      <c r="M45" s="4">
        <v>0.87</v>
      </c>
      <c r="N45" s="4">
        <v>0.69</v>
      </c>
      <c r="O45" s="12">
        <v>0.78</v>
      </c>
      <c r="P45" s="4">
        <v>0.18</v>
      </c>
      <c r="Q45" s="21" t="s">
        <v>328</v>
      </c>
    </row>
    <row r="46" spans="1:17" x14ac:dyDescent="0.3">
      <c r="A46" s="2" t="s">
        <v>269</v>
      </c>
      <c r="B46" s="2" t="s">
        <v>270</v>
      </c>
      <c r="C46" s="2" t="s">
        <v>53</v>
      </c>
      <c r="D46" s="2" t="s">
        <v>50</v>
      </c>
      <c r="E46" s="2" t="s">
        <v>19</v>
      </c>
      <c r="F46" s="2" t="s">
        <v>28</v>
      </c>
      <c r="G46" s="5">
        <v>39767</v>
      </c>
      <c r="H46" s="10">
        <v>16</v>
      </c>
      <c r="I46" s="5">
        <v>26395</v>
      </c>
      <c r="J46" s="2">
        <v>53</v>
      </c>
      <c r="K46" s="2" t="s">
        <v>16</v>
      </c>
      <c r="L46" s="15">
        <v>1673</v>
      </c>
      <c r="M46" s="4">
        <v>0.78</v>
      </c>
      <c r="N46" s="4">
        <v>0.78</v>
      </c>
      <c r="O46" s="12">
        <v>0.78</v>
      </c>
      <c r="P46" s="4">
        <v>0</v>
      </c>
      <c r="Q46" s="21" t="s">
        <v>371</v>
      </c>
    </row>
    <row r="47" spans="1:17" x14ac:dyDescent="0.3">
      <c r="A47" s="2" t="s">
        <v>110</v>
      </c>
      <c r="B47" s="2" t="s">
        <v>111</v>
      </c>
      <c r="C47" s="2" t="s">
        <v>56</v>
      </c>
      <c r="D47" s="2" t="s">
        <v>41</v>
      </c>
      <c r="E47" s="2" t="s">
        <v>31</v>
      </c>
      <c r="F47" s="2" t="s">
        <v>15</v>
      </c>
      <c r="G47" s="5">
        <v>42105</v>
      </c>
      <c r="H47" s="10">
        <v>10</v>
      </c>
      <c r="I47" s="5">
        <v>23312</v>
      </c>
      <c r="J47" s="2">
        <v>61</v>
      </c>
      <c r="K47" s="2" t="s">
        <v>42</v>
      </c>
      <c r="L47" s="15">
        <v>4649</v>
      </c>
      <c r="M47" s="4">
        <v>0.75</v>
      </c>
      <c r="N47" s="4">
        <v>0.78</v>
      </c>
      <c r="O47" s="12">
        <v>0.76500000000000001</v>
      </c>
      <c r="P47" s="4">
        <v>-0.03</v>
      </c>
      <c r="Q47" s="21" t="s">
        <v>286</v>
      </c>
    </row>
    <row r="48" spans="1:17" x14ac:dyDescent="0.3">
      <c r="A48" s="2" t="s">
        <v>141</v>
      </c>
      <c r="B48" s="2" t="s">
        <v>142</v>
      </c>
      <c r="C48" s="2" t="s">
        <v>32</v>
      </c>
      <c r="D48" s="2" t="s">
        <v>41</v>
      </c>
      <c r="E48" s="2" t="s">
        <v>31</v>
      </c>
      <c r="F48" s="2" t="s">
        <v>28</v>
      </c>
      <c r="G48" s="5">
        <v>35868</v>
      </c>
      <c r="H48" s="10">
        <v>27</v>
      </c>
      <c r="I48" s="5">
        <v>28782</v>
      </c>
      <c r="J48" s="2">
        <v>46</v>
      </c>
      <c r="K48" s="2" t="s">
        <v>42</v>
      </c>
      <c r="L48" s="15">
        <v>16767</v>
      </c>
      <c r="M48" s="4">
        <v>0.84</v>
      </c>
      <c r="N48" s="4">
        <v>0.69</v>
      </c>
      <c r="O48" s="12">
        <v>0.76500000000000001</v>
      </c>
      <c r="P48" s="4">
        <v>0.15</v>
      </c>
      <c r="Q48" s="21" t="s">
        <v>297</v>
      </c>
    </row>
    <row r="49" spans="1:17" x14ac:dyDescent="0.3">
      <c r="A49" s="2" t="s">
        <v>99</v>
      </c>
      <c r="B49" s="2" t="s">
        <v>100</v>
      </c>
      <c r="C49" s="2" t="s">
        <v>52</v>
      </c>
      <c r="D49" s="2" t="s">
        <v>41</v>
      </c>
      <c r="E49" s="2" t="s">
        <v>31</v>
      </c>
      <c r="F49" s="2" t="s">
        <v>15</v>
      </c>
      <c r="G49" s="5">
        <v>40726</v>
      </c>
      <c r="H49" s="10">
        <v>14</v>
      </c>
      <c r="I49" s="5">
        <v>29194</v>
      </c>
      <c r="J49" s="2">
        <v>45</v>
      </c>
      <c r="K49" s="2" t="s">
        <v>42</v>
      </c>
      <c r="L49" s="15">
        <v>6329</v>
      </c>
      <c r="M49" s="4">
        <v>0.81</v>
      </c>
      <c r="N49" s="4">
        <v>0.71</v>
      </c>
      <c r="O49" s="12">
        <v>0.76</v>
      </c>
      <c r="P49" s="4">
        <v>0.1</v>
      </c>
      <c r="Q49" s="21" t="s">
        <v>282</v>
      </c>
    </row>
    <row r="50" spans="1:17" x14ac:dyDescent="0.3">
      <c r="A50" s="2" t="s">
        <v>112</v>
      </c>
      <c r="B50" s="2" t="s">
        <v>192</v>
      </c>
      <c r="C50" s="2" t="s">
        <v>61</v>
      </c>
      <c r="D50" s="2" t="s">
        <v>45</v>
      </c>
      <c r="E50" s="2" t="s">
        <v>27</v>
      </c>
      <c r="F50" s="2" t="s">
        <v>28</v>
      </c>
      <c r="G50" s="5">
        <v>43071</v>
      </c>
      <c r="H50" s="10">
        <v>7</v>
      </c>
      <c r="I50" s="5">
        <v>21695</v>
      </c>
      <c r="J50" s="2">
        <v>66</v>
      </c>
      <c r="K50" s="2" t="s">
        <v>16</v>
      </c>
      <c r="L50" s="15">
        <v>13380</v>
      </c>
      <c r="M50" s="4">
        <v>0.8</v>
      </c>
      <c r="N50" s="4">
        <v>0.72</v>
      </c>
      <c r="O50" s="12">
        <v>0.76</v>
      </c>
      <c r="P50" s="4">
        <v>8.0000000000000099E-2</v>
      </c>
      <c r="Q50" s="21" t="s">
        <v>320</v>
      </c>
    </row>
    <row r="51" spans="1:17" x14ac:dyDescent="0.3">
      <c r="A51" s="2" t="s">
        <v>155</v>
      </c>
      <c r="B51" s="2" t="s">
        <v>255</v>
      </c>
      <c r="C51" s="2" t="s">
        <v>52</v>
      </c>
      <c r="D51" s="2" t="s">
        <v>50</v>
      </c>
      <c r="E51" s="2" t="s">
        <v>19</v>
      </c>
      <c r="F51" s="2" t="s">
        <v>15</v>
      </c>
      <c r="G51" s="5">
        <v>39641</v>
      </c>
      <c r="H51" s="10">
        <v>17</v>
      </c>
      <c r="I51" s="5">
        <v>25608</v>
      </c>
      <c r="J51" s="2">
        <v>55</v>
      </c>
      <c r="K51" s="2" t="s">
        <v>16</v>
      </c>
      <c r="L51" s="15">
        <v>12903</v>
      </c>
      <c r="M51" s="4">
        <v>0.77</v>
      </c>
      <c r="N51" s="4">
        <v>0.75</v>
      </c>
      <c r="O51" s="12">
        <v>0.76</v>
      </c>
      <c r="P51" s="4">
        <v>0.02</v>
      </c>
      <c r="Q51" s="21" t="s">
        <v>363</v>
      </c>
    </row>
    <row r="52" spans="1:17" x14ac:dyDescent="0.3">
      <c r="A52" s="2" t="s">
        <v>121</v>
      </c>
      <c r="B52" s="2" t="s">
        <v>215</v>
      </c>
      <c r="C52" s="2" t="s">
        <v>46</v>
      </c>
      <c r="D52" s="2" t="s">
        <v>37</v>
      </c>
      <c r="E52" s="2" t="s">
        <v>14</v>
      </c>
      <c r="F52" s="2" t="s">
        <v>24</v>
      </c>
      <c r="G52" s="5">
        <v>37460</v>
      </c>
      <c r="H52" s="10">
        <v>23</v>
      </c>
      <c r="I52" s="5">
        <v>25427</v>
      </c>
      <c r="J52" s="2">
        <v>56</v>
      </c>
      <c r="K52" s="2" t="s">
        <v>16</v>
      </c>
      <c r="L52" s="15">
        <v>23771</v>
      </c>
      <c r="M52" s="4">
        <v>0.88</v>
      </c>
      <c r="N52" s="4">
        <v>0.63</v>
      </c>
      <c r="O52" s="12">
        <v>0.755</v>
      </c>
      <c r="P52" s="4">
        <v>0.25</v>
      </c>
      <c r="Q52" s="21" t="s">
        <v>336</v>
      </c>
    </row>
    <row r="53" spans="1:17" x14ac:dyDescent="0.3">
      <c r="A53" s="2" t="s">
        <v>220</v>
      </c>
      <c r="B53" s="2" t="s">
        <v>221</v>
      </c>
      <c r="C53" s="2" t="s">
        <v>67</v>
      </c>
      <c r="D53" s="2" t="s">
        <v>35</v>
      </c>
      <c r="E53" s="2" t="s">
        <v>14</v>
      </c>
      <c r="F53" s="2" t="s">
        <v>28</v>
      </c>
      <c r="G53" s="5">
        <v>38816</v>
      </c>
      <c r="H53" s="10">
        <v>19</v>
      </c>
      <c r="I53" s="5">
        <v>24781</v>
      </c>
      <c r="J53" s="2">
        <v>57</v>
      </c>
      <c r="K53" s="2" t="s">
        <v>16</v>
      </c>
      <c r="L53" s="15">
        <v>5735</v>
      </c>
      <c r="M53" s="4">
        <v>0.82</v>
      </c>
      <c r="N53" s="4">
        <v>0.69</v>
      </c>
      <c r="O53" s="12">
        <v>0.755</v>
      </c>
      <c r="P53" s="4">
        <v>0.13</v>
      </c>
      <c r="Q53" s="21" t="s">
        <v>341</v>
      </c>
    </row>
    <row r="54" spans="1:17" x14ac:dyDescent="0.3">
      <c r="A54" s="2" t="s">
        <v>89</v>
      </c>
      <c r="B54" s="2" t="s">
        <v>247</v>
      </c>
      <c r="C54" s="2" t="s">
        <v>49</v>
      </c>
      <c r="D54" s="2" t="s">
        <v>50</v>
      </c>
      <c r="E54" s="2" t="s">
        <v>19</v>
      </c>
      <c r="F54" s="2" t="s">
        <v>15</v>
      </c>
      <c r="G54" s="5">
        <v>40292</v>
      </c>
      <c r="H54" s="10">
        <v>15</v>
      </c>
      <c r="I54" s="5">
        <v>26435</v>
      </c>
      <c r="J54" s="2">
        <v>53</v>
      </c>
      <c r="K54" s="2" t="s">
        <v>16</v>
      </c>
      <c r="L54" s="15">
        <v>12801</v>
      </c>
      <c r="M54" s="4">
        <v>0.75</v>
      </c>
      <c r="N54" s="4">
        <v>0.76</v>
      </c>
      <c r="O54" s="12">
        <v>0.755</v>
      </c>
      <c r="P54" s="4">
        <v>-0.01</v>
      </c>
      <c r="Q54" s="21" t="s">
        <v>356</v>
      </c>
    </row>
    <row r="55" spans="1:17" x14ac:dyDescent="0.3">
      <c r="A55" s="2" t="s">
        <v>263</v>
      </c>
      <c r="B55" s="2" t="s">
        <v>264</v>
      </c>
      <c r="C55" s="2" t="s">
        <v>29</v>
      </c>
      <c r="D55" s="2" t="s">
        <v>48</v>
      </c>
      <c r="E55" s="2" t="s">
        <v>19</v>
      </c>
      <c r="F55" s="2" t="s">
        <v>15</v>
      </c>
      <c r="G55" s="5">
        <v>42515</v>
      </c>
      <c r="H55" s="10">
        <v>9</v>
      </c>
      <c r="I55" s="5">
        <v>24332</v>
      </c>
      <c r="J55" s="2">
        <v>59</v>
      </c>
      <c r="K55" s="2" t="s">
        <v>16</v>
      </c>
      <c r="L55" s="15">
        <v>21183</v>
      </c>
      <c r="M55" s="4">
        <v>0.85</v>
      </c>
      <c r="N55" s="4">
        <v>0.66</v>
      </c>
      <c r="O55" s="12">
        <v>0.755</v>
      </c>
      <c r="P55" s="4">
        <v>0.19</v>
      </c>
      <c r="Q55" s="21" t="s">
        <v>368</v>
      </c>
    </row>
    <row r="56" spans="1:17" x14ac:dyDescent="0.3">
      <c r="A56" s="2" t="s">
        <v>105</v>
      </c>
      <c r="B56" s="2" t="s">
        <v>106</v>
      </c>
      <c r="C56" s="2" t="s">
        <v>54</v>
      </c>
      <c r="D56" s="2" t="s">
        <v>41</v>
      </c>
      <c r="E56" s="2" t="s">
        <v>31</v>
      </c>
      <c r="F56" s="2" t="s">
        <v>24</v>
      </c>
      <c r="G56" s="5">
        <v>41905</v>
      </c>
      <c r="H56" s="10">
        <v>10</v>
      </c>
      <c r="I56" s="5">
        <v>25213</v>
      </c>
      <c r="J56" s="2">
        <v>56</v>
      </c>
      <c r="K56" s="2" t="s">
        <v>42</v>
      </c>
      <c r="L56" s="15">
        <v>4799</v>
      </c>
      <c r="M56" s="4">
        <v>0.86</v>
      </c>
      <c r="N56" s="4">
        <v>0.64</v>
      </c>
      <c r="O56" s="12">
        <v>0.75</v>
      </c>
      <c r="P56" s="4">
        <v>0.22</v>
      </c>
      <c r="Q56" s="21" t="s">
        <v>284</v>
      </c>
    </row>
    <row r="57" spans="1:17" x14ac:dyDescent="0.3">
      <c r="A57" s="2" t="s">
        <v>116</v>
      </c>
      <c r="B57" s="2" t="s">
        <v>117</v>
      </c>
      <c r="C57" s="2" t="s">
        <v>58</v>
      </c>
      <c r="D57" s="2" t="s">
        <v>41</v>
      </c>
      <c r="E57" s="2" t="s">
        <v>31</v>
      </c>
      <c r="F57" s="2" t="s">
        <v>28</v>
      </c>
      <c r="G57" s="5">
        <v>42469</v>
      </c>
      <c r="H57" s="10">
        <v>9</v>
      </c>
      <c r="I57" s="5">
        <v>30487</v>
      </c>
      <c r="J57" s="2">
        <v>42</v>
      </c>
      <c r="K57" s="2" t="s">
        <v>42</v>
      </c>
      <c r="L57" s="15">
        <v>18240</v>
      </c>
      <c r="M57" s="4">
        <v>0.89</v>
      </c>
      <c r="N57" s="4">
        <v>0.61</v>
      </c>
      <c r="O57" s="12">
        <v>0.75</v>
      </c>
      <c r="P57" s="4">
        <v>0.28000000000000003</v>
      </c>
      <c r="Q57" s="21" t="s">
        <v>288</v>
      </c>
    </row>
    <row r="58" spans="1:17" x14ac:dyDescent="0.3">
      <c r="A58" s="2" t="s">
        <v>128</v>
      </c>
      <c r="B58" s="2" t="s">
        <v>129</v>
      </c>
      <c r="C58" s="2" t="s">
        <v>73</v>
      </c>
      <c r="D58" s="2" t="s">
        <v>41</v>
      </c>
      <c r="E58" s="2" t="s">
        <v>31</v>
      </c>
      <c r="F58" s="2" t="s">
        <v>15</v>
      </c>
      <c r="G58" s="5">
        <v>43121</v>
      </c>
      <c r="H58" s="10">
        <v>7</v>
      </c>
      <c r="I58" s="5">
        <v>28364</v>
      </c>
      <c r="J58" s="2">
        <v>48</v>
      </c>
      <c r="K58" s="2" t="s">
        <v>42</v>
      </c>
      <c r="L58" s="15">
        <v>2486</v>
      </c>
      <c r="M58" s="4">
        <v>0.83</v>
      </c>
      <c r="N58" s="4">
        <v>0.67</v>
      </c>
      <c r="O58" s="12">
        <v>0.75</v>
      </c>
      <c r="P58" s="4">
        <v>0.16</v>
      </c>
      <c r="Q58" s="21" t="s">
        <v>292</v>
      </c>
    </row>
    <row r="59" spans="1:17" x14ac:dyDescent="0.3">
      <c r="A59" s="2" t="s">
        <v>94</v>
      </c>
      <c r="B59" s="2" t="s">
        <v>212</v>
      </c>
      <c r="C59" s="2" t="s">
        <v>40</v>
      </c>
      <c r="D59" s="2" t="s">
        <v>35</v>
      </c>
      <c r="E59" s="2" t="s">
        <v>14</v>
      </c>
      <c r="F59" s="2" t="s">
        <v>15</v>
      </c>
      <c r="G59" s="5">
        <v>35855</v>
      </c>
      <c r="H59" s="10">
        <v>27</v>
      </c>
      <c r="I59" s="5">
        <v>24091</v>
      </c>
      <c r="J59" s="2">
        <v>59</v>
      </c>
      <c r="K59" s="2" t="s">
        <v>16</v>
      </c>
      <c r="L59" s="15">
        <v>6553</v>
      </c>
      <c r="M59" s="4">
        <v>0.75</v>
      </c>
      <c r="N59" s="4">
        <v>0.75</v>
      </c>
      <c r="O59" s="12">
        <v>0.75</v>
      </c>
      <c r="P59" s="4">
        <v>0</v>
      </c>
      <c r="Q59" s="21" t="s">
        <v>333</v>
      </c>
    </row>
    <row r="60" spans="1:17" x14ac:dyDescent="0.3">
      <c r="A60" s="2" t="s">
        <v>250</v>
      </c>
      <c r="B60" s="2" t="s">
        <v>251</v>
      </c>
      <c r="C60" s="2" t="s">
        <v>70</v>
      </c>
      <c r="D60" s="2" t="s">
        <v>48</v>
      </c>
      <c r="E60" s="2" t="s">
        <v>19</v>
      </c>
      <c r="F60" s="2" t="s">
        <v>15</v>
      </c>
      <c r="G60" s="5">
        <v>42833</v>
      </c>
      <c r="H60" s="10">
        <v>8</v>
      </c>
      <c r="I60" s="5">
        <v>30733</v>
      </c>
      <c r="J60" s="2">
        <v>41</v>
      </c>
      <c r="K60" s="2" t="s">
        <v>16</v>
      </c>
      <c r="L60" s="15">
        <v>20897</v>
      </c>
      <c r="M60" s="4">
        <v>0.83</v>
      </c>
      <c r="N60" s="4">
        <v>0.67</v>
      </c>
      <c r="O60" s="12">
        <v>0.75</v>
      </c>
      <c r="P60" s="4">
        <v>0.16</v>
      </c>
      <c r="Q60" s="21" t="s">
        <v>359</v>
      </c>
    </row>
    <row r="61" spans="1:17" x14ac:dyDescent="0.3">
      <c r="A61" s="2" t="s">
        <v>164</v>
      </c>
      <c r="B61" s="2" t="s">
        <v>165</v>
      </c>
      <c r="C61" s="2" t="s">
        <v>43</v>
      </c>
      <c r="D61" s="2" t="s">
        <v>41</v>
      </c>
      <c r="E61" s="2" t="s">
        <v>31</v>
      </c>
      <c r="F61" s="2" t="s">
        <v>15</v>
      </c>
      <c r="G61" s="5">
        <v>35966</v>
      </c>
      <c r="H61" s="10">
        <v>27</v>
      </c>
      <c r="I61" s="5">
        <v>27774</v>
      </c>
      <c r="J61" s="2">
        <v>49</v>
      </c>
      <c r="K61" s="2" t="s">
        <v>42</v>
      </c>
      <c r="L61" s="15">
        <v>19015</v>
      </c>
      <c r="M61" s="4">
        <v>0.84</v>
      </c>
      <c r="N61" s="4">
        <v>0.65</v>
      </c>
      <c r="O61" s="12">
        <v>0.745</v>
      </c>
      <c r="P61" s="4">
        <v>0.19</v>
      </c>
      <c r="Q61" s="21" t="s">
        <v>307</v>
      </c>
    </row>
    <row r="62" spans="1:17" x14ac:dyDescent="0.3">
      <c r="A62" s="2" t="s">
        <v>108</v>
      </c>
      <c r="B62" s="2" t="s">
        <v>109</v>
      </c>
      <c r="C62" s="2" t="s">
        <v>55</v>
      </c>
      <c r="D62" s="2" t="s">
        <v>41</v>
      </c>
      <c r="E62" s="2" t="s">
        <v>31</v>
      </c>
      <c r="F62" s="2" t="s">
        <v>24</v>
      </c>
      <c r="G62" s="5">
        <v>41923</v>
      </c>
      <c r="H62" s="10">
        <v>10</v>
      </c>
      <c r="I62" s="5">
        <v>25210</v>
      </c>
      <c r="J62" s="2">
        <v>56</v>
      </c>
      <c r="K62" s="2" t="s">
        <v>42</v>
      </c>
      <c r="L62" s="15">
        <v>18547</v>
      </c>
      <c r="M62" s="4">
        <v>0.82</v>
      </c>
      <c r="N62" s="4">
        <v>0.65</v>
      </c>
      <c r="O62" s="12">
        <v>0.73499999999999999</v>
      </c>
      <c r="P62" s="4">
        <v>0.17</v>
      </c>
      <c r="Q62" s="21" t="s">
        <v>285</v>
      </c>
    </row>
    <row r="63" spans="1:17" x14ac:dyDescent="0.3">
      <c r="A63" s="2" t="s">
        <v>148</v>
      </c>
      <c r="B63" s="2" t="s">
        <v>149</v>
      </c>
      <c r="C63" s="2" t="s">
        <v>58</v>
      </c>
      <c r="D63" s="2" t="s">
        <v>41</v>
      </c>
      <c r="E63" s="2" t="s">
        <v>31</v>
      </c>
      <c r="F63" s="2" t="s">
        <v>15</v>
      </c>
      <c r="G63" s="5">
        <v>42576</v>
      </c>
      <c r="H63" s="10">
        <v>9</v>
      </c>
      <c r="I63" s="5">
        <v>32599</v>
      </c>
      <c r="J63" s="2">
        <v>36</v>
      </c>
      <c r="K63" s="2" t="s">
        <v>42</v>
      </c>
      <c r="L63" s="15">
        <v>7329</v>
      </c>
      <c r="M63" s="4">
        <v>0.86</v>
      </c>
      <c r="N63" s="4">
        <v>0.61</v>
      </c>
      <c r="O63" s="12">
        <v>0.73499999999999999</v>
      </c>
      <c r="P63" s="4">
        <v>0.25</v>
      </c>
      <c r="Q63" s="21" t="s">
        <v>300</v>
      </c>
    </row>
    <row r="64" spans="1:17" x14ac:dyDescent="0.3">
      <c r="A64" s="2" t="s">
        <v>173</v>
      </c>
      <c r="B64" s="2" t="s">
        <v>174</v>
      </c>
      <c r="C64" s="2" t="s">
        <v>56</v>
      </c>
      <c r="D64" s="2" t="s">
        <v>41</v>
      </c>
      <c r="E64" s="2" t="s">
        <v>31</v>
      </c>
      <c r="F64" s="2" t="s">
        <v>15</v>
      </c>
      <c r="G64" s="5">
        <v>41594</v>
      </c>
      <c r="H64" s="10">
        <v>11</v>
      </c>
      <c r="I64" s="5">
        <v>25655</v>
      </c>
      <c r="J64" s="2">
        <v>55</v>
      </c>
      <c r="K64" s="2" t="s">
        <v>42</v>
      </c>
      <c r="L64" s="15">
        <v>7002</v>
      </c>
      <c r="M64" s="4">
        <v>0.87</v>
      </c>
      <c r="N64" s="4">
        <v>0.6</v>
      </c>
      <c r="O64" s="12">
        <v>0.73499999999999999</v>
      </c>
      <c r="P64" s="4">
        <v>0.27</v>
      </c>
      <c r="Q64" s="21" t="s">
        <v>311</v>
      </c>
    </row>
    <row r="65" spans="1:17" x14ac:dyDescent="0.3">
      <c r="A65" s="2" t="s">
        <v>181</v>
      </c>
      <c r="B65" s="2" t="s">
        <v>182</v>
      </c>
      <c r="C65" s="2" t="s">
        <v>25</v>
      </c>
      <c r="D65" s="2" t="s">
        <v>26</v>
      </c>
      <c r="E65" s="2" t="s">
        <v>27</v>
      </c>
      <c r="F65" s="2" t="s">
        <v>28</v>
      </c>
      <c r="G65" s="5">
        <v>41499</v>
      </c>
      <c r="H65" s="10">
        <v>12</v>
      </c>
      <c r="I65" s="5">
        <v>26494</v>
      </c>
      <c r="J65" s="2">
        <v>53</v>
      </c>
      <c r="K65" s="2" t="s">
        <v>20</v>
      </c>
      <c r="L65" s="15">
        <v>26520</v>
      </c>
      <c r="M65" s="4">
        <v>0.81</v>
      </c>
      <c r="N65" s="4">
        <v>0.66</v>
      </c>
      <c r="O65" s="12">
        <v>0.73499999999999999</v>
      </c>
      <c r="P65" s="4">
        <v>0.15</v>
      </c>
      <c r="Q65" s="21" t="s">
        <v>315</v>
      </c>
    </row>
    <row r="66" spans="1:17" x14ac:dyDescent="0.3">
      <c r="A66" s="2" t="s">
        <v>228</v>
      </c>
      <c r="B66" s="2" t="s">
        <v>229</v>
      </c>
      <c r="C66" s="2" t="s">
        <v>46</v>
      </c>
      <c r="D66" s="2" t="s">
        <v>33</v>
      </c>
      <c r="E66" s="2" t="s">
        <v>14</v>
      </c>
      <c r="F66" s="2" t="s">
        <v>15</v>
      </c>
      <c r="G66" s="5">
        <v>37282</v>
      </c>
      <c r="H66" s="10">
        <v>23</v>
      </c>
      <c r="I66" s="5">
        <v>30042</v>
      </c>
      <c r="J66" s="2">
        <v>43</v>
      </c>
      <c r="K66" s="2" t="s">
        <v>16</v>
      </c>
      <c r="L66" s="15">
        <v>6834</v>
      </c>
      <c r="M66" s="4">
        <v>0.83</v>
      </c>
      <c r="N66" s="4">
        <v>0.64</v>
      </c>
      <c r="O66" s="12">
        <v>0.73499999999999999</v>
      </c>
      <c r="P66" s="4">
        <v>0.19</v>
      </c>
      <c r="Q66" s="21" t="s">
        <v>345</v>
      </c>
    </row>
    <row r="67" spans="1:17" x14ac:dyDescent="0.3">
      <c r="A67" s="2" t="s">
        <v>122</v>
      </c>
      <c r="B67" s="2" t="s">
        <v>123</v>
      </c>
      <c r="C67" s="2" t="s">
        <v>67</v>
      </c>
      <c r="D67" s="2" t="s">
        <v>41</v>
      </c>
      <c r="E67" s="2" t="s">
        <v>31</v>
      </c>
      <c r="F67" s="2" t="s">
        <v>15</v>
      </c>
      <c r="G67" s="5">
        <v>42417</v>
      </c>
      <c r="H67" s="10">
        <v>9</v>
      </c>
      <c r="I67" s="5">
        <v>23641</v>
      </c>
      <c r="J67" s="2">
        <v>60</v>
      </c>
      <c r="K67" s="2" t="s">
        <v>42</v>
      </c>
      <c r="L67" s="15">
        <v>13889</v>
      </c>
      <c r="M67" s="4">
        <v>0.85</v>
      </c>
      <c r="N67" s="4">
        <v>0.61</v>
      </c>
      <c r="O67" s="12">
        <v>0.73</v>
      </c>
      <c r="P67" s="4">
        <v>0.24</v>
      </c>
      <c r="Q67" s="21" t="s">
        <v>290</v>
      </c>
    </row>
    <row r="68" spans="1:17" x14ac:dyDescent="0.3">
      <c r="A68" s="2" t="s">
        <v>91</v>
      </c>
      <c r="B68" s="2" t="s">
        <v>92</v>
      </c>
      <c r="C68" s="2" t="s">
        <v>43</v>
      </c>
      <c r="D68" s="2" t="s">
        <v>41</v>
      </c>
      <c r="E68" s="2" t="s">
        <v>31</v>
      </c>
      <c r="F68" s="2" t="s">
        <v>15</v>
      </c>
      <c r="G68" s="5">
        <v>42326</v>
      </c>
      <c r="H68" s="10">
        <v>9</v>
      </c>
      <c r="I68" s="5">
        <v>28807</v>
      </c>
      <c r="J68" s="2">
        <v>46</v>
      </c>
      <c r="K68" s="2" t="s">
        <v>42</v>
      </c>
      <c r="L68" s="15">
        <v>7943</v>
      </c>
      <c r="M68" s="4">
        <v>0.75</v>
      </c>
      <c r="N68" s="4">
        <v>0.7</v>
      </c>
      <c r="O68" s="12">
        <v>0.72499999999999998</v>
      </c>
      <c r="P68" s="4">
        <v>0.05</v>
      </c>
      <c r="Q68" s="21" t="s">
        <v>280</v>
      </c>
    </row>
    <row r="69" spans="1:17" x14ac:dyDescent="0.3">
      <c r="A69" s="2" t="s">
        <v>188</v>
      </c>
      <c r="B69" s="2" t="s">
        <v>239</v>
      </c>
      <c r="C69" s="2" t="s">
        <v>47</v>
      </c>
      <c r="D69" s="2" t="s">
        <v>39</v>
      </c>
      <c r="E69" s="2" t="s">
        <v>23</v>
      </c>
      <c r="F69" s="2" t="s">
        <v>15</v>
      </c>
      <c r="G69" s="5">
        <v>37817</v>
      </c>
      <c r="H69" s="10">
        <v>22</v>
      </c>
      <c r="I69" s="5">
        <v>25539</v>
      </c>
      <c r="J69" s="2">
        <v>55</v>
      </c>
      <c r="K69" s="2" t="s">
        <v>16</v>
      </c>
      <c r="L69" s="15">
        <v>6348</v>
      </c>
      <c r="M69" s="4">
        <v>0.76</v>
      </c>
      <c r="N69" s="4">
        <v>0.69</v>
      </c>
      <c r="O69" s="12">
        <v>0.72499999999999998</v>
      </c>
      <c r="P69" s="4">
        <v>7.0000000000000104E-2</v>
      </c>
      <c r="Q69" s="21" t="s">
        <v>351</v>
      </c>
    </row>
    <row r="70" spans="1:17" x14ac:dyDescent="0.3">
      <c r="A70" s="2" t="s">
        <v>188</v>
      </c>
      <c r="B70" s="2" t="s">
        <v>239</v>
      </c>
      <c r="C70" s="2" t="s">
        <v>47</v>
      </c>
      <c r="D70" s="2" t="s">
        <v>39</v>
      </c>
      <c r="E70" s="2" t="s">
        <v>23</v>
      </c>
      <c r="F70" s="2" t="s">
        <v>15</v>
      </c>
      <c r="G70" s="5">
        <v>37817</v>
      </c>
      <c r="H70" s="10">
        <v>22</v>
      </c>
      <c r="I70" s="5">
        <v>25539</v>
      </c>
      <c r="J70" s="2">
        <v>55</v>
      </c>
      <c r="K70" s="2" t="s">
        <v>16</v>
      </c>
      <c r="L70" s="15">
        <v>6348</v>
      </c>
      <c r="M70" s="4">
        <v>0.76</v>
      </c>
      <c r="N70" s="4">
        <v>0.69</v>
      </c>
      <c r="O70" s="12">
        <v>0.72499999999999998</v>
      </c>
      <c r="P70" s="4">
        <v>7.0000000000000104E-2</v>
      </c>
      <c r="Q70" s="21" t="s">
        <v>351</v>
      </c>
    </row>
    <row r="71" spans="1:17" x14ac:dyDescent="0.3">
      <c r="A71" s="2" t="s">
        <v>200</v>
      </c>
      <c r="B71" s="2" t="s">
        <v>201</v>
      </c>
      <c r="C71" s="2" t="s">
        <v>51</v>
      </c>
      <c r="D71" s="2" t="s">
        <v>45</v>
      </c>
      <c r="E71" s="2" t="s">
        <v>27</v>
      </c>
      <c r="F71" s="2" t="s">
        <v>28</v>
      </c>
      <c r="G71" s="5">
        <v>39102</v>
      </c>
      <c r="H71" s="10">
        <v>18</v>
      </c>
      <c r="I71" s="5">
        <v>24807</v>
      </c>
      <c r="J71" s="2">
        <v>57</v>
      </c>
      <c r="K71" s="2" t="s">
        <v>16</v>
      </c>
      <c r="L71" s="15">
        <v>2185</v>
      </c>
      <c r="M71" s="4">
        <v>0.79</v>
      </c>
      <c r="N71" s="4">
        <v>0.65</v>
      </c>
      <c r="O71" s="12">
        <v>0.72</v>
      </c>
      <c r="P71" s="4">
        <v>0.14000000000000001</v>
      </c>
      <c r="Q71" s="21" t="s">
        <v>324</v>
      </c>
    </row>
    <row r="72" spans="1:17" x14ac:dyDescent="0.3">
      <c r="A72" s="2" t="s">
        <v>143</v>
      </c>
      <c r="B72" s="2" t="s">
        <v>209</v>
      </c>
      <c r="C72" s="2" t="s">
        <v>62</v>
      </c>
      <c r="D72" s="2" t="s">
        <v>33</v>
      </c>
      <c r="E72" s="2" t="s">
        <v>14</v>
      </c>
      <c r="F72" s="2" t="s">
        <v>24</v>
      </c>
      <c r="G72" s="5">
        <v>42515</v>
      </c>
      <c r="H72" s="10">
        <v>9</v>
      </c>
      <c r="I72" s="5">
        <v>26982</v>
      </c>
      <c r="J72" s="2">
        <v>51</v>
      </c>
      <c r="K72" s="2" t="s">
        <v>16</v>
      </c>
      <c r="L72" s="15">
        <v>20121</v>
      </c>
      <c r="M72" s="4">
        <v>0.8</v>
      </c>
      <c r="N72" s="4">
        <v>0.64</v>
      </c>
      <c r="O72" s="12">
        <v>0.72</v>
      </c>
      <c r="P72" s="4">
        <v>0.16</v>
      </c>
      <c r="Q72" s="21" t="s">
        <v>330</v>
      </c>
    </row>
    <row r="73" spans="1:17" x14ac:dyDescent="0.3">
      <c r="A73" s="2" t="s">
        <v>119</v>
      </c>
      <c r="B73" s="2" t="s">
        <v>120</v>
      </c>
      <c r="C73" s="2" t="s">
        <v>66</v>
      </c>
      <c r="D73" s="2" t="s">
        <v>41</v>
      </c>
      <c r="E73" s="2" t="s">
        <v>31</v>
      </c>
      <c r="F73" s="2" t="s">
        <v>28</v>
      </c>
      <c r="G73" s="5">
        <v>41923</v>
      </c>
      <c r="H73" s="10">
        <v>10</v>
      </c>
      <c r="I73" s="5">
        <v>27988</v>
      </c>
      <c r="J73" s="2">
        <v>49</v>
      </c>
      <c r="K73" s="2" t="s">
        <v>42</v>
      </c>
      <c r="L73" s="15">
        <v>3445</v>
      </c>
      <c r="M73" s="4">
        <v>0.78</v>
      </c>
      <c r="N73" s="4">
        <v>0.65</v>
      </c>
      <c r="O73" s="12">
        <v>0.71499999999999997</v>
      </c>
      <c r="P73" s="4">
        <v>0.13</v>
      </c>
      <c r="Q73" s="21" t="s">
        <v>289</v>
      </c>
    </row>
    <row r="74" spans="1:17" x14ac:dyDescent="0.3">
      <c r="A74" s="2" t="s">
        <v>144</v>
      </c>
      <c r="B74" s="2" t="s">
        <v>145</v>
      </c>
      <c r="C74" s="2" t="s">
        <v>49</v>
      </c>
      <c r="D74" s="2" t="s">
        <v>41</v>
      </c>
      <c r="E74" s="2" t="s">
        <v>31</v>
      </c>
      <c r="F74" s="2" t="s">
        <v>28</v>
      </c>
      <c r="G74" s="5">
        <v>38930</v>
      </c>
      <c r="H74" s="10">
        <v>19</v>
      </c>
      <c r="I74" s="5">
        <v>28166</v>
      </c>
      <c r="J74" s="2">
        <v>48</v>
      </c>
      <c r="K74" s="2" t="s">
        <v>42</v>
      </c>
      <c r="L74" s="15">
        <v>12122</v>
      </c>
      <c r="M74" s="4">
        <v>0.76</v>
      </c>
      <c r="N74" s="4">
        <v>0.67</v>
      </c>
      <c r="O74" s="12">
        <v>0.71499999999999997</v>
      </c>
      <c r="P74" s="4">
        <v>0.09</v>
      </c>
      <c r="Q74" s="21" t="s">
        <v>298</v>
      </c>
    </row>
    <row r="75" spans="1:17" x14ac:dyDescent="0.3">
      <c r="A75" s="2" t="s">
        <v>169</v>
      </c>
      <c r="B75" s="2" t="s">
        <v>170</v>
      </c>
      <c r="C75" s="2" t="s">
        <v>54</v>
      </c>
      <c r="D75" s="2" t="s">
        <v>41</v>
      </c>
      <c r="E75" s="2" t="s">
        <v>31</v>
      </c>
      <c r="F75" s="2" t="s">
        <v>24</v>
      </c>
      <c r="G75" s="5">
        <v>41191</v>
      </c>
      <c r="H75" s="10">
        <v>12</v>
      </c>
      <c r="I75" s="5">
        <v>26439</v>
      </c>
      <c r="J75" s="2">
        <v>53</v>
      </c>
      <c r="K75" s="2" t="s">
        <v>42</v>
      </c>
      <c r="L75" s="15">
        <v>5061</v>
      </c>
      <c r="M75" s="4">
        <v>0.75</v>
      </c>
      <c r="N75" s="4">
        <v>0.67</v>
      </c>
      <c r="O75" s="12">
        <v>0.71</v>
      </c>
      <c r="P75" s="4">
        <v>0.08</v>
      </c>
      <c r="Q75" s="21" t="s">
        <v>309</v>
      </c>
    </row>
    <row r="76" spans="1:17" x14ac:dyDescent="0.3">
      <c r="A76" s="2" t="s">
        <v>179</v>
      </c>
      <c r="B76" s="2" t="s">
        <v>180</v>
      </c>
      <c r="C76" s="2" t="s">
        <v>60</v>
      </c>
      <c r="D76" s="2" t="s">
        <v>41</v>
      </c>
      <c r="E76" s="2" t="s">
        <v>31</v>
      </c>
      <c r="F76" s="2" t="s">
        <v>15</v>
      </c>
      <c r="G76" s="5">
        <v>41771</v>
      </c>
      <c r="H76" s="10">
        <v>11</v>
      </c>
      <c r="I76" s="5">
        <v>28792</v>
      </c>
      <c r="J76" s="2">
        <v>46</v>
      </c>
      <c r="K76" s="2" t="s">
        <v>42</v>
      </c>
      <c r="L76" s="15">
        <v>11645</v>
      </c>
      <c r="M76" s="4">
        <v>0.8</v>
      </c>
      <c r="N76" s="4">
        <v>0.62</v>
      </c>
      <c r="O76" s="12">
        <v>0.71</v>
      </c>
      <c r="P76" s="4">
        <v>0.18</v>
      </c>
      <c r="Q76" s="21" t="s">
        <v>314</v>
      </c>
    </row>
    <row r="77" spans="1:17" x14ac:dyDescent="0.3">
      <c r="A77" s="2" t="s">
        <v>242</v>
      </c>
      <c r="B77" s="2" t="s">
        <v>243</v>
      </c>
      <c r="C77" s="2" t="s">
        <v>72</v>
      </c>
      <c r="D77" s="2" t="s">
        <v>39</v>
      </c>
      <c r="E77" s="2" t="s">
        <v>23</v>
      </c>
      <c r="F77" s="2" t="s">
        <v>15</v>
      </c>
      <c r="G77" s="5">
        <v>40680</v>
      </c>
      <c r="H77" s="10">
        <v>14</v>
      </c>
      <c r="I77" s="5">
        <v>28100</v>
      </c>
      <c r="J77" s="2">
        <v>48</v>
      </c>
      <c r="K77" s="2" t="s">
        <v>16</v>
      </c>
      <c r="L77" s="15">
        <v>18214</v>
      </c>
      <c r="M77" s="4">
        <v>0.78</v>
      </c>
      <c r="N77" s="4">
        <v>0.64</v>
      </c>
      <c r="O77" s="12">
        <v>0.71</v>
      </c>
      <c r="P77" s="4">
        <v>0.14000000000000001</v>
      </c>
      <c r="Q77" s="21" t="s">
        <v>353</v>
      </c>
    </row>
    <row r="78" spans="1:17" x14ac:dyDescent="0.3">
      <c r="A78" s="2" t="s">
        <v>242</v>
      </c>
      <c r="B78" s="2" t="s">
        <v>243</v>
      </c>
      <c r="C78" s="2" t="s">
        <v>72</v>
      </c>
      <c r="D78" s="2" t="s">
        <v>39</v>
      </c>
      <c r="E78" s="2" t="s">
        <v>23</v>
      </c>
      <c r="F78" s="2" t="s">
        <v>15</v>
      </c>
      <c r="G78" s="5">
        <v>40680</v>
      </c>
      <c r="H78" s="10">
        <v>14</v>
      </c>
      <c r="I78" s="5">
        <v>28100</v>
      </c>
      <c r="J78" s="2">
        <v>48</v>
      </c>
      <c r="K78" s="2" t="s">
        <v>16</v>
      </c>
      <c r="L78" s="15">
        <v>18214</v>
      </c>
      <c r="M78" s="4">
        <v>0.78</v>
      </c>
      <c r="N78" s="4">
        <v>0.64</v>
      </c>
      <c r="O78" s="12">
        <v>0.71</v>
      </c>
      <c r="P78" s="4">
        <v>0.14000000000000001</v>
      </c>
      <c r="Q78" s="21" t="s">
        <v>353</v>
      </c>
    </row>
    <row r="79" spans="1:17" x14ac:dyDescent="0.3">
      <c r="A79" s="2" t="s">
        <v>83</v>
      </c>
      <c r="B79" s="2" t="s">
        <v>84</v>
      </c>
      <c r="C79" s="2" t="s">
        <v>29</v>
      </c>
      <c r="D79" s="2" t="s">
        <v>30</v>
      </c>
      <c r="E79" s="2" t="s">
        <v>31</v>
      </c>
      <c r="F79" s="2" t="s">
        <v>28</v>
      </c>
      <c r="G79" s="5">
        <v>36741</v>
      </c>
      <c r="H79" s="10">
        <v>25</v>
      </c>
      <c r="I79" s="5">
        <v>29281</v>
      </c>
      <c r="J79" s="2">
        <v>45</v>
      </c>
      <c r="K79" s="2" t="s">
        <v>16</v>
      </c>
      <c r="L79" s="15">
        <v>35000</v>
      </c>
      <c r="M79" s="4">
        <v>0.89</v>
      </c>
      <c r="N79" s="4">
        <v>0.52</v>
      </c>
      <c r="O79" s="12">
        <v>0.70499999999999996</v>
      </c>
      <c r="P79" s="4">
        <v>0.37</v>
      </c>
      <c r="Q79" s="21" t="s">
        <v>278</v>
      </c>
    </row>
    <row r="80" spans="1:17" x14ac:dyDescent="0.3">
      <c r="A80" s="2" t="s">
        <v>198</v>
      </c>
      <c r="B80" s="2" t="s">
        <v>199</v>
      </c>
      <c r="C80" s="2" t="s">
        <v>25</v>
      </c>
      <c r="D80" s="2" t="s">
        <v>45</v>
      </c>
      <c r="E80" s="2" t="s">
        <v>27</v>
      </c>
      <c r="F80" s="2" t="s">
        <v>15</v>
      </c>
      <c r="G80" s="5">
        <v>42417</v>
      </c>
      <c r="H80" s="10">
        <v>9</v>
      </c>
      <c r="I80" s="5">
        <v>28157</v>
      </c>
      <c r="J80" s="2">
        <v>48</v>
      </c>
      <c r="K80" s="2" t="s">
        <v>16</v>
      </c>
      <c r="L80" s="15">
        <v>19451</v>
      </c>
      <c r="M80" s="4">
        <v>0.77</v>
      </c>
      <c r="N80" s="4">
        <v>0.63</v>
      </c>
      <c r="O80" s="12">
        <v>0.7</v>
      </c>
      <c r="P80" s="4">
        <v>0.14000000000000001</v>
      </c>
      <c r="Q80" s="21" t="s">
        <v>323</v>
      </c>
    </row>
    <row r="81" spans="1:17" x14ac:dyDescent="0.3">
      <c r="A81" s="2" t="s">
        <v>133</v>
      </c>
      <c r="B81" s="2" t="s">
        <v>134</v>
      </c>
      <c r="C81" s="2" t="s">
        <v>21</v>
      </c>
      <c r="D81" s="2" t="s">
        <v>41</v>
      </c>
      <c r="E81" s="2" t="s">
        <v>31</v>
      </c>
      <c r="F81" s="2" t="s">
        <v>28</v>
      </c>
      <c r="G81" s="5">
        <v>36312</v>
      </c>
      <c r="H81" s="10">
        <v>26</v>
      </c>
      <c r="I81" s="5">
        <v>23532</v>
      </c>
      <c r="J81" s="2">
        <v>61</v>
      </c>
      <c r="K81" s="2" t="s">
        <v>42</v>
      </c>
      <c r="L81" s="15">
        <v>22438</v>
      </c>
      <c r="M81" s="4">
        <v>0.82</v>
      </c>
      <c r="N81" s="4">
        <v>0.56999999999999995</v>
      </c>
      <c r="O81" s="12">
        <v>0.69499999999999995</v>
      </c>
      <c r="P81" s="4">
        <v>0.25</v>
      </c>
      <c r="Q81" s="21" t="s">
        <v>294</v>
      </c>
    </row>
    <row r="82" spans="1:17" x14ac:dyDescent="0.3">
      <c r="A82" s="2" t="s">
        <v>137</v>
      </c>
      <c r="B82" s="2" t="s">
        <v>252</v>
      </c>
      <c r="C82" s="2" t="s">
        <v>71</v>
      </c>
      <c r="D82" s="2" t="s">
        <v>50</v>
      </c>
      <c r="E82" s="2" t="s">
        <v>19</v>
      </c>
      <c r="F82" s="2" t="s">
        <v>24</v>
      </c>
      <c r="G82" s="5">
        <v>41527</v>
      </c>
      <c r="H82" s="10">
        <v>12</v>
      </c>
      <c r="I82" s="5">
        <v>27607</v>
      </c>
      <c r="J82" s="2">
        <v>50</v>
      </c>
      <c r="K82" s="2" t="s">
        <v>16</v>
      </c>
      <c r="L82" s="15">
        <v>15730</v>
      </c>
      <c r="M82" s="4">
        <v>0.86</v>
      </c>
      <c r="N82" s="4">
        <v>0.53</v>
      </c>
      <c r="O82" s="12">
        <v>0.69499999999999995</v>
      </c>
      <c r="P82" s="4">
        <v>0.33</v>
      </c>
      <c r="Q82" s="21" t="s">
        <v>360</v>
      </c>
    </row>
    <row r="83" spans="1:17" x14ac:dyDescent="0.3">
      <c r="A83" s="2" t="s">
        <v>104</v>
      </c>
      <c r="B83" s="2" t="s">
        <v>253</v>
      </c>
      <c r="C83" s="2" t="s">
        <v>36</v>
      </c>
      <c r="D83" s="2" t="s">
        <v>50</v>
      </c>
      <c r="E83" s="2" t="s">
        <v>19</v>
      </c>
      <c r="F83" s="2" t="s">
        <v>15</v>
      </c>
      <c r="G83" s="5">
        <v>39671</v>
      </c>
      <c r="H83" s="10">
        <v>17</v>
      </c>
      <c r="I83" s="5">
        <v>25496</v>
      </c>
      <c r="J83" s="2">
        <v>55</v>
      </c>
      <c r="K83" s="2" t="s">
        <v>16</v>
      </c>
      <c r="L83" s="15">
        <v>16861</v>
      </c>
      <c r="M83" s="4">
        <v>0.87</v>
      </c>
      <c r="N83" s="4">
        <v>0.52</v>
      </c>
      <c r="O83" s="12">
        <v>0.69499999999999995</v>
      </c>
      <c r="P83" s="4">
        <v>0.35</v>
      </c>
      <c r="Q83" s="21" t="s">
        <v>361</v>
      </c>
    </row>
    <row r="84" spans="1:17" x14ac:dyDescent="0.3">
      <c r="A84" s="2" t="s">
        <v>267</v>
      </c>
      <c r="B84" s="2" t="s">
        <v>268</v>
      </c>
      <c r="C84" s="2" t="s">
        <v>52</v>
      </c>
      <c r="D84" s="2" t="s">
        <v>48</v>
      </c>
      <c r="E84" s="2" t="s">
        <v>19</v>
      </c>
      <c r="F84" s="2" t="s">
        <v>28</v>
      </c>
      <c r="G84" s="5">
        <v>39669</v>
      </c>
      <c r="H84" s="10">
        <v>17</v>
      </c>
      <c r="I84" s="5">
        <v>29342</v>
      </c>
      <c r="J84" s="2">
        <v>45</v>
      </c>
      <c r="K84" s="2" t="s">
        <v>16</v>
      </c>
      <c r="L84" s="15">
        <v>2227</v>
      </c>
      <c r="M84" s="4">
        <v>0.8</v>
      </c>
      <c r="N84" s="4">
        <v>0.59</v>
      </c>
      <c r="O84" s="12">
        <v>0.69499999999999995</v>
      </c>
      <c r="P84" s="4">
        <v>0.21</v>
      </c>
      <c r="Q84" s="21" t="s">
        <v>370</v>
      </c>
    </row>
    <row r="85" spans="1:17" x14ac:dyDescent="0.3">
      <c r="A85" s="2" t="s">
        <v>226</v>
      </c>
      <c r="B85" s="2" t="s">
        <v>227</v>
      </c>
      <c r="C85" s="2" t="s">
        <v>71</v>
      </c>
      <c r="D85" s="2" t="s">
        <v>37</v>
      </c>
      <c r="E85" s="2" t="s">
        <v>14</v>
      </c>
      <c r="F85" s="2" t="s">
        <v>15</v>
      </c>
      <c r="G85" s="5">
        <v>40180</v>
      </c>
      <c r="H85" s="10">
        <v>15</v>
      </c>
      <c r="I85" s="5">
        <v>23726</v>
      </c>
      <c r="J85" s="2">
        <v>60</v>
      </c>
      <c r="K85" s="2" t="s">
        <v>16</v>
      </c>
      <c r="L85" s="15">
        <v>11445</v>
      </c>
      <c r="M85" s="4">
        <v>0.8</v>
      </c>
      <c r="N85" s="4">
        <v>0.57999999999999996</v>
      </c>
      <c r="O85" s="12">
        <v>0.69</v>
      </c>
      <c r="P85" s="4">
        <v>0.22</v>
      </c>
      <c r="Q85" s="21" t="s">
        <v>344</v>
      </c>
    </row>
    <row r="86" spans="1:17" x14ac:dyDescent="0.3">
      <c r="A86" s="2" t="s">
        <v>260</v>
      </c>
      <c r="B86" s="2" t="s">
        <v>261</v>
      </c>
      <c r="C86" s="2" t="s">
        <v>65</v>
      </c>
      <c r="D86" s="2" t="s">
        <v>50</v>
      </c>
      <c r="E86" s="2" t="s">
        <v>19</v>
      </c>
      <c r="F86" s="2" t="s">
        <v>15</v>
      </c>
      <c r="G86" s="5">
        <v>37676</v>
      </c>
      <c r="H86" s="10">
        <v>22</v>
      </c>
      <c r="I86" s="5">
        <v>25124</v>
      </c>
      <c r="J86" s="2">
        <v>56</v>
      </c>
      <c r="K86" s="2" t="s">
        <v>16</v>
      </c>
      <c r="L86" s="15">
        <v>24472</v>
      </c>
      <c r="M86" s="4">
        <v>0.84</v>
      </c>
      <c r="N86" s="4">
        <v>0.52</v>
      </c>
      <c r="O86" s="12">
        <v>0.68</v>
      </c>
      <c r="P86" s="4">
        <v>0.32</v>
      </c>
      <c r="Q86" s="21" t="s">
        <v>366</v>
      </c>
    </row>
    <row r="87" spans="1:17" x14ac:dyDescent="0.3">
      <c r="A87" s="2" t="s">
        <v>130</v>
      </c>
      <c r="B87" s="2" t="s">
        <v>214</v>
      </c>
      <c r="C87" s="2" t="s">
        <v>44</v>
      </c>
      <c r="D87" s="2" t="s">
        <v>35</v>
      </c>
      <c r="E87" s="2" t="s">
        <v>14</v>
      </c>
      <c r="F87" s="2" t="s">
        <v>15</v>
      </c>
      <c r="G87" s="5">
        <v>37118</v>
      </c>
      <c r="H87" s="10">
        <v>24</v>
      </c>
      <c r="I87" s="5">
        <v>27130</v>
      </c>
      <c r="J87" s="2">
        <v>51</v>
      </c>
      <c r="K87" s="2" t="s">
        <v>16</v>
      </c>
      <c r="L87" s="15">
        <v>20909</v>
      </c>
      <c r="M87" s="4">
        <v>0.88</v>
      </c>
      <c r="N87" s="4">
        <v>0.46</v>
      </c>
      <c r="O87" s="12">
        <v>0.67</v>
      </c>
      <c r="P87" s="4">
        <v>0.42</v>
      </c>
      <c r="Q87" s="21" t="s">
        <v>335</v>
      </c>
    </row>
    <row r="88" spans="1:17" x14ac:dyDescent="0.3">
      <c r="A88" s="2" t="s">
        <v>222</v>
      </c>
      <c r="B88" s="2" t="s">
        <v>223</v>
      </c>
      <c r="C88" s="2" t="s">
        <v>68</v>
      </c>
      <c r="D88" s="2" t="s">
        <v>33</v>
      </c>
      <c r="E88" s="2" t="s">
        <v>14</v>
      </c>
      <c r="F88" s="2" t="s">
        <v>28</v>
      </c>
      <c r="G88" s="5">
        <v>39298</v>
      </c>
      <c r="H88" s="10">
        <v>18</v>
      </c>
      <c r="I88" s="5">
        <v>25572</v>
      </c>
      <c r="J88" s="2">
        <v>55</v>
      </c>
      <c r="K88" s="2" t="s">
        <v>16</v>
      </c>
      <c r="L88" s="15">
        <v>2725</v>
      </c>
      <c r="M88" s="4">
        <v>0.8</v>
      </c>
      <c r="N88" s="4">
        <v>0.54</v>
      </c>
      <c r="O88" s="12">
        <v>0.67</v>
      </c>
      <c r="P88" s="4">
        <v>0.26</v>
      </c>
      <c r="Q88" s="21" t="s">
        <v>342</v>
      </c>
    </row>
    <row r="89" spans="1:17" x14ac:dyDescent="0.3">
      <c r="A89" s="2" t="s">
        <v>256</v>
      </c>
      <c r="B89" s="2" t="s">
        <v>257</v>
      </c>
      <c r="C89" s="2" t="s">
        <v>63</v>
      </c>
      <c r="D89" s="2" t="s">
        <v>48</v>
      </c>
      <c r="E89" s="2" t="s">
        <v>19</v>
      </c>
      <c r="F89" s="2" t="s">
        <v>28</v>
      </c>
      <c r="G89" s="5">
        <v>43121</v>
      </c>
      <c r="H89" s="10">
        <v>7</v>
      </c>
      <c r="I89" s="5">
        <v>27200</v>
      </c>
      <c r="J89" s="2">
        <v>51</v>
      </c>
      <c r="K89" s="2" t="s">
        <v>16</v>
      </c>
      <c r="L89" s="15">
        <v>4388</v>
      </c>
      <c r="M89" s="4">
        <v>0.86</v>
      </c>
      <c r="N89" s="4">
        <v>0.47</v>
      </c>
      <c r="O89" s="12">
        <v>0.66500000000000004</v>
      </c>
      <c r="P89" s="4">
        <v>0.39</v>
      </c>
      <c r="Q89" s="21" t="s">
        <v>364</v>
      </c>
    </row>
    <row r="90" spans="1:17" x14ac:dyDescent="0.3">
      <c r="A90" s="2" t="s">
        <v>127</v>
      </c>
      <c r="B90" s="2" t="s">
        <v>205</v>
      </c>
      <c r="C90" s="2" t="s">
        <v>34</v>
      </c>
      <c r="D90" s="2" t="s">
        <v>35</v>
      </c>
      <c r="E90" s="2" t="s">
        <v>14</v>
      </c>
      <c r="F90" s="2" t="s">
        <v>24</v>
      </c>
      <c r="G90" s="5">
        <v>37758</v>
      </c>
      <c r="H90" s="10">
        <v>22</v>
      </c>
      <c r="I90" s="5">
        <v>30195</v>
      </c>
      <c r="J90" s="2">
        <v>43</v>
      </c>
      <c r="K90" s="2" t="s">
        <v>16</v>
      </c>
      <c r="L90" s="15">
        <v>19987</v>
      </c>
      <c r="M90" s="4">
        <v>0.76</v>
      </c>
      <c r="N90" s="4">
        <v>0.55000000000000004</v>
      </c>
      <c r="O90" s="12">
        <v>0.65500000000000003</v>
      </c>
      <c r="P90" s="4">
        <v>0.21</v>
      </c>
      <c r="Q90" s="21" t="s">
        <v>327</v>
      </c>
    </row>
    <row r="91" spans="1:17" x14ac:dyDescent="0.3">
      <c r="A91" s="2" t="s">
        <v>195</v>
      </c>
      <c r="B91" s="2" t="s">
        <v>204</v>
      </c>
      <c r="C91" s="2" t="s">
        <v>32</v>
      </c>
      <c r="D91" s="2" t="s">
        <v>33</v>
      </c>
      <c r="E91" s="2" t="s">
        <v>14</v>
      </c>
      <c r="F91" s="2" t="s">
        <v>15</v>
      </c>
      <c r="G91" s="5">
        <v>37121</v>
      </c>
      <c r="H91" s="10">
        <v>24</v>
      </c>
      <c r="I91" s="5">
        <v>24296</v>
      </c>
      <c r="J91" s="2">
        <v>59</v>
      </c>
      <c r="K91" s="2" t="s">
        <v>16</v>
      </c>
      <c r="L91" s="15">
        <v>17233</v>
      </c>
      <c r="M91" s="4">
        <v>0.89</v>
      </c>
      <c r="N91" s="4">
        <v>0.41</v>
      </c>
      <c r="O91" s="12">
        <v>0.65</v>
      </c>
      <c r="P91" s="4">
        <v>0.48</v>
      </c>
      <c r="Q91" s="21" t="s">
        <v>326</v>
      </c>
    </row>
    <row r="92" spans="1:17" x14ac:dyDescent="0.3">
      <c r="A92" s="2" t="s">
        <v>140</v>
      </c>
      <c r="B92" s="2" t="s">
        <v>213</v>
      </c>
      <c r="C92" s="2" t="s">
        <v>43</v>
      </c>
      <c r="D92" s="2" t="s">
        <v>33</v>
      </c>
      <c r="E92" s="2" t="s">
        <v>14</v>
      </c>
      <c r="F92" s="2" t="s">
        <v>15</v>
      </c>
      <c r="G92" s="5">
        <v>36544</v>
      </c>
      <c r="H92" s="10">
        <v>25</v>
      </c>
      <c r="I92" s="5">
        <v>28423</v>
      </c>
      <c r="J92" s="2">
        <v>47</v>
      </c>
      <c r="K92" s="2" t="s">
        <v>16</v>
      </c>
      <c r="L92" s="15">
        <v>13054</v>
      </c>
      <c r="M92" s="4">
        <v>0.82</v>
      </c>
      <c r="N92" s="4">
        <v>0.48</v>
      </c>
      <c r="O92" s="12">
        <v>0.65</v>
      </c>
      <c r="P92" s="4">
        <v>0.34</v>
      </c>
      <c r="Q92" s="21" t="s">
        <v>334</v>
      </c>
    </row>
    <row r="93" spans="1:17" x14ac:dyDescent="0.3">
      <c r="A93" s="2" t="s">
        <v>185</v>
      </c>
      <c r="B93" s="2" t="s">
        <v>194</v>
      </c>
      <c r="C93" s="2" t="s">
        <v>62</v>
      </c>
      <c r="D93" s="2" t="s">
        <v>45</v>
      </c>
      <c r="E93" s="2" t="s">
        <v>27</v>
      </c>
      <c r="F93" s="2" t="s">
        <v>24</v>
      </c>
      <c r="G93" s="5">
        <v>43444</v>
      </c>
      <c r="H93" s="10">
        <v>6</v>
      </c>
      <c r="I93" s="5">
        <v>25438</v>
      </c>
      <c r="J93" s="2">
        <v>56</v>
      </c>
      <c r="K93" s="2" t="s">
        <v>16</v>
      </c>
      <c r="L93" s="15">
        <v>18856</v>
      </c>
      <c r="M93" s="4">
        <v>0.81</v>
      </c>
      <c r="N93" s="4">
        <v>0.48</v>
      </c>
      <c r="O93" s="12">
        <v>0.64500000000000002</v>
      </c>
      <c r="P93" s="4">
        <v>0.33</v>
      </c>
      <c r="Q93" s="21" t="s">
        <v>321</v>
      </c>
    </row>
    <row r="94" spans="1:17" x14ac:dyDescent="0.3">
      <c r="A94" s="2" t="s">
        <v>265</v>
      </c>
      <c r="B94" s="2" t="s">
        <v>266</v>
      </c>
      <c r="C94" s="2" t="s">
        <v>32</v>
      </c>
      <c r="D94" s="2" t="s">
        <v>50</v>
      </c>
      <c r="E94" s="2" t="s">
        <v>19</v>
      </c>
      <c r="F94" s="2" t="s">
        <v>15</v>
      </c>
      <c r="G94" s="5">
        <v>41783</v>
      </c>
      <c r="H94" s="10">
        <v>11</v>
      </c>
      <c r="I94" s="5">
        <v>25532</v>
      </c>
      <c r="J94" s="2">
        <v>55</v>
      </c>
      <c r="K94" s="2" t="s">
        <v>16</v>
      </c>
      <c r="L94" s="15">
        <v>22459</v>
      </c>
      <c r="M94" s="4">
        <v>0.86</v>
      </c>
      <c r="N94" s="4">
        <v>0.43</v>
      </c>
      <c r="O94" s="12">
        <v>0.64500000000000002</v>
      </c>
      <c r="P94" s="4">
        <v>0.43</v>
      </c>
      <c r="Q94" s="21" t="s">
        <v>369</v>
      </c>
    </row>
    <row r="95" spans="1:17" x14ac:dyDescent="0.3">
      <c r="A95" s="2" t="s">
        <v>95</v>
      </c>
      <c r="B95" s="2" t="s">
        <v>96</v>
      </c>
      <c r="C95" s="2" t="s">
        <v>51</v>
      </c>
      <c r="D95" s="2" t="s">
        <v>41</v>
      </c>
      <c r="E95" s="2" t="s">
        <v>31</v>
      </c>
      <c r="F95" s="2" t="s">
        <v>15</v>
      </c>
      <c r="G95" s="5">
        <v>40688</v>
      </c>
      <c r="H95" s="10">
        <v>14</v>
      </c>
      <c r="I95" s="5">
        <v>26102</v>
      </c>
      <c r="J95" s="2">
        <v>54</v>
      </c>
      <c r="K95" s="2" t="s">
        <v>42</v>
      </c>
      <c r="L95" s="15">
        <v>16613</v>
      </c>
      <c r="M95" s="4">
        <v>0.84</v>
      </c>
      <c r="N95" s="4">
        <v>0.42</v>
      </c>
      <c r="O95" s="12">
        <v>0.63</v>
      </c>
      <c r="P95" s="4">
        <v>0.42</v>
      </c>
      <c r="Q95" s="21" t="s">
        <v>281</v>
      </c>
    </row>
    <row r="96" spans="1:17" x14ac:dyDescent="0.3">
      <c r="A96" s="2" t="s">
        <v>158</v>
      </c>
      <c r="B96" s="2" t="s">
        <v>159</v>
      </c>
      <c r="C96" s="2" t="s">
        <v>38</v>
      </c>
      <c r="D96" s="2" t="s">
        <v>41</v>
      </c>
      <c r="E96" s="2" t="s">
        <v>31</v>
      </c>
      <c r="F96" s="2" t="s">
        <v>15</v>
      </c>
      <c r="G96" s="5">
        <v>35217</v>
      </c>
      <c r="H96" s="10">
        <v>29</v>
      </c>
      <c r="I96" s="5">
        <v>28157</v>
      </c>
      <c r="J96" s="2">
        <v>48</v>
      </c>
      <c r="K96" s="2" t="s">
        <v>42</v>
      </c>
      <c r="L96" s="15">
        <v>9011</v>
      </c>
      <c r="M96" s="4">
        <v>0.79</v>
      </c>
      <c r="N96" s="4">
        <v>0.46</v>
      </c>
      <c r="O96" s="12">
        <v>0.625</v>
      </c>
      <c r="P96" s="4">
        <v>0.33</v>
      </c>
      <c r="Q96" s="21" t="s">
        <v>305</v>
      </c>
    </row>
    <row r="97" spans="1:17" x14ac:dyDescent="0.3">
      <c r="A97" s="2" t="s">
        <v>131</v>
      </c>
      <c r="B97" s="2" t="s">
        <v>132</v>
      </c>
      <c r="C97" s="2" t="s">
        <v>12</v>
      </c>
      <c r="D97" s="2" t="s">
        <v>41</v>
      </c>
      <c r="E97" s="2" t="s">
        <v>31</v>
      </c>
      <c r="F97" s="2" t="s">
        <v>15</v>
      </c>
      <c r="G97" s="5">
        <v>43121</v>
      </c>
      <c r="H97" s="10">
        <v>7</v>
      </c>
      <c r="I97" s="5">
        <v>23497</v>
      </c>
      <c r="J97" s="2">
        <v>61</v>
      </c>
      <c r="K97" s="2" t="s">
        <v>42</v>
      </c>
      <c r="L97" s="15">
        <v>9365</v>
      </c>
      <c r="M97" s="4">
        <v>0.84</v>
      </c>
      <c r="N97" s="4">
        <v>0.4</v>
      </c>
      <c r="O97" s="12">
        <v>0.62</v>
      </c>
      <c r="P97" s="4">
        <v>0.44</v>
      </c>
      <c r="Q97" s="21" t="s">
        <v>293</v>
      </c>
    </row>
    <row r="98" spans="1:17" x14ac:dyDescent="0.3">
      <c r="A98" s="2" t="s">
        <v>135</v>
      </c>
      <c r="B98" s="2" t="s">
        <v>208</v>
      </c>
      <c r="C98" s="2" t="s">
        <v>61</v>
      </c>
      <c r="D98" s="2" t="s">
        <v>35</v>
      </c>
      <c r="E98" s="2" t="s">
        <v>14</v>
      </c>
      <c r="F98" s="2" t="s">
        <v>15</v>
      </c>
      <c r="G98" s="5">
        <v>42491</v>
      </c>
      <c r="H98" s="10">
        <v>9</v>
      </c>
      <c r="I98" s="5">
        <v>27603</v>
      </c>
      <c r="J98" s="2">
        <v>50</v>
      </c>
      <c r="K98" s="2" t="s">
        <v>16</v>
      </c>
      <c r="L98" s="15">
        <v>7935</v>
      </c>
      <c r="M98" s="4">
        <v>0.83</v>
      </c>
      <c r="N98" s="4">
        <v>0.41</v>
      </c>
      <c r="O98" s="12">
        <v>0.62</v>
      </c>
      <c r="P98" s="4">
        <v>0.42</v>
      </c>
      <c r="Q98" s="21" t="s">
        <v>329</v>
      </c>
    </row>
    <row r="99" spans="1:17" x14ac:dyDescent="0.3">
      <c r="A99" s="2" t="s">
        <v>161</v>
      </c>
      <c r="B99" s="2" t="s">
        <v>162</v>
      </c>
      <c r="C99" s="2" t="s">
        <v>40</v>
      </c>
      <c r="D99" s="2" t="s">
        <v>41</v>
      </c>
      <c r="E99" s="2" t="s">
        <v>31</v>
      </c>
      <c r="F99" s="2" t="s">
        <v>15</v>
      </c>
      <c r="G99" s="5">
        <v>35389</v>
      </c>
      <c r="H99" s="10">
        <v>28</v>
      </c>
      <c r="I99" s="5">
        <v>28970</v>
      </c>
      <c r="J99" s="2">
        <v>46</v>
      </c>
      <c r="K99" s="2" t="s">
        <v>42</v>
      </c>
      <c r="L99" s="15">
        <v>5390</v>
      </c>
      <c r="M99" s="4">
        <v>0.81</v>
      </c>
      <c r="N99" s="4">
        <v>0.4</v>
      </c>
      <c r="O99" s="12">
        <v>0.60499999999999998</v>
      </c>
      <c r="P99" s="4">
        <v>0.41</v>
      </c>
      <c r="Q99" s="21" t="s">
        <v>306</v>
      </c>
    </row>
    <row r="100" spans="1:17" x14ac:dyDescent="0.3">
      <c r="A100" s="2" t="s">
        <v>224</v>
      </c>
      <c r="B100" s="2" t="s">
        <v>225</v>
      </c>
      <c r="C100" s="2" t="s">
        <v>69</v>
      </c>
      <c r="D100" s="2" t="s">
        <v>35</v>
      </c>
      <c r="E100" s="2" t="s">
        <v>14</v>
      </c>
      <c r="F100" s="2" t="s">
        <v>15</v>
      </c>
      <c r="G100" s="5">
        <v>39725</v>
      </c>
      <c r="H100" s="10">
        <v>16</v>
      </c>
      <c r="I100" s="5">
        <v>25981</v>
      </c>
      <c r="J100" s="2">
        <v>54</v>
      </c>
      <c r="K100" s="2" t="s">
        <v>16</v>
      </c>
      <c r="L100" s="15">
        <v>5909</v>
      </c>
      <c r="M100" s="4">
        <v>0.76</v>
      </c>
      <c r="N100" s="4">
        <v>0.43</v>
      </c>
      <c r="O100" s="12">
        <v>0.59499999999999997</v>
      </c>
      <c r="P100" s="4">
        <v>0.33</v>
      </c>
      <c r="Q100" s="21" t="s">
        <v>343</v>
      </c>
    </row>
    <row r="101" spans="1:17" x14ac:dyDescent="0.3">
      <c r="A101" s="2" t="s">
        <v>115</v>
      </c>
      <c r="B101" s="2" t="s">
        <v>136</v>
      </c>
      <c r="C101" s="2" t="s">
        <v>25</v>
      </c>
      <c r="D101" s="2" t="s">
        <v>41</v>
      </c>
      <c r="E101" s="2" t="s">
        <v>31</v>
      </c>
      <c r="F101" s="2" t="s">
        <v>28</v>
      </c>
      <c r="G101" s="5">
        <v>38115</v>
      </c>
      <c r="H101" s="10">
        <v>21</v>
      </c>
      <c r="I101" s="5">
        <v>32743</v>
      </c>
      <c r="J101" s="2">
        <v>36</v>
      </c>
      <c r="K101" s="2" t="s">
        <v>42</v>
      </c>
      <c r="L101" s="15">
        <v>20869</v>
      </c>
      <c r="M101" s="4">
        <v>0.77</v>
      </c>
      <c r="N101" s="4">
        <v>0.41</v>
      </c>
      <c r="O101" s="12">
        <v>0.59</v>
      </c>
      <c r="P101" s="4">
        <v>0.36</v>
      </c>
      <c r="Q101" s="21" t="s">
        <v>295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8AEF-829B-4778-A6F7-8E7847CCC00A}">
  <dimension ref="A9:U99"/>
  <sheetViews>
    <sheetView topLeftCell="A10" zoomScale="73" zoomScaleNormal="73" workbookViewId="0">
      <selection activeCell="G69" sqref="G69"/>
    </sheetView>
  </sheetViews>
  <sheetFormatPr defaultRowHeight="14.4" x14ac:dyDescent="0.3"/>
  <cols>
    <col min="1" max="2" width="23.6640625" bestFit="1" customWidth="1"/>
    <col min="3" max="3" width="21.33203125" bestFit="1" customWidth="1"/>
    <col min="4" max="4" width="14.109375" bestFit="1" customWidth="1"/>
    <col min="5" max="5" width="22.33203125" bestFit="1" customWidth="1"/>
    <col min="6" max="6" width="23.5546875" bestFit="1" customWidth="1"/>
    <col min="8" max="9" width="23.5546875" bestFit="1" customWidth="1"/>
    <col min="10" max="10" width="18.109375" bestFit="1" customWidth="1"/>
  </cols>
  <sheetData>
    <row r="9" spans="1:9" x14ac:dyDescent="0.3">
      <c r="A9" t="s">
        <v>373</v>
      </c>
      <c r="B9" t="s">
        <v>374</v>
      </c>
      <c r="C9" t="s">
        <v>274</v>
      </c>
      <c r="D9" t="s">
        <v>372</v>
      </c>
      <c r="E9" t="s">
        <v>275</v>
      </c>
      <c r="F9" t="s">
        <v>276</v>
      </c>
    </row>
    <row r="10" spans="1:9" x14ac:dyDescent="0.3">
      <c r="A10" s="8">
        <v>0.81830000000000014</v>
      </c>
      <c r="B10" s="8">
        <v>0.71210000000000018</v>
      </c>
      <c r="C10" s="8">
        <v>0.10619999999999999</v>
      </c>
      <c r="D10" s="11">
        <v>50.87</v>
      </c>
      <c r="E10" s="11">
        <v>14.57</v>
      </c>
      <c r="F10" s="40">
        <v>100</v>
      </c>
    </row>
    <row r="11" spans="1:9" x14ac:dyDescent="0.3">
      <c r="A11" s="8">
        <f t="shared" ref="A11:F11" si="0">A10</f>
        <v>0.81830000000000014</v>
      </c>
      <c r="B11" s="8">
        <f t="shared" si="0"/>
        <v>0.71210000000000018</v>
      </c>
      <c r="C11" s="8">
        <f t="shared" si="0"/>
        <v>0.10619999999999999</v>
      </c>
      <c r="D11" s="11">
        <f t="shared" si="0"/>
        <v>50.87</v>
      </c>
      <c r="E11" s="11">
        <f t="shared" si="0"/>
        <v>14.57</v>
      </c>
      <c r="F11" s="14">
        <f t="shared" si="0"/>
        <v>100</v>
      </c>
    </row>
    <row r="13" spans="1:9" x14ac:dyDescent="0.3">
      <c r="A13" s="26" t="s">
        <v>376</v>
      </c>
      <c r="B13" s="27"/>
      <c r="C13" s="27"/>
      <c r="E13" s="26" t="s">
        <v>398</v>
      </c>
      <c r="F13" s="26"/>
      <c r="H13" s="26" t="s">
        <v>377</v>
      </c>
      <c r="I13" s="26"/>
    </row>
    <row r="14" spans="1:9" x14ac:dyDescent="0.3">
      <c r="A14" s="6" t="s">
        <v>4</v>
      </c>
      <c r="B14" t="s">
        <v>272</v>
      </c>
      <c r="C14" t="s">
        <v>273</v>
      </c>
      <c r="E14" s="6" t="s">
        <v>277</v>
      </c>
      <c r="F14" t="s">
        <v>375</v>
      </c>
      <c r="H14" s="6" t="s">
        <v>4</v>
      </c>
      <c r="I14" t="s">
        <v>375</v>
      </c>
    </row>
    <row r="15" spans="1:9" x14ac:dyDescent="0.3">
      <c r="A15" s="7" t="s">
        <v>19</v>
      </c>
      <c r="B15" s="13">
        <v>0.83166666666666655</v>
      </c>
      <c r="C15" s="13">
        <v>0.71888888888888891</v>
      </c>
      <c r="E15" s="7" t="s">
        <v>291</v>
      </c>
      <c r="F15" s="13">
        <v>0.87</v>
      </c>
      <c r="H15" s="7" t="s">
        <v>23</v>
      </c>
      <c r="I15" s="13">
        <v>0.7891666666666669</v>
      </c>
    </row>
    <row r="16" spans="1:9" x14ac:dyDescent="0.3">
      <c r="A16" s="7" t="s">
        <v>14</v>
      </c>
      <c r="B16" s="13">
        <v>0.823913043478261</v>
      </c>
      <c r="C16" s="13">
        <v>0.68043478260869572</v>
      </c>
      <c r="E16" s="7" t="s">
        <v>357</v>
      </c>
      <c r="F16" s="13">
        <v>0.87</v>
      </c>
      <c r="H16" s="7" t="s">
        <v>19</v>
      </c>
      <c r="I16" s="13">
        <v>0.77527777777777784</v>
      </c>
    </row>
    <row r="17" spans="1:21" x14ac:dyDescent="0.3">
      <c r="A17" s="7" t="s">
        <v>31</v>
      </c>
      <c r="B17" s="13">
        <v>0.82108108108108113</v>
      </c>
      <c r="C17" s="13">
        <v>0.6954054054054053</v>
      </c>
      <c r="E17" s="7" t="s">
        <v>302</v>
      </c>
      <c r="F17" s="13">
        <v>0.875</v>
      </c>
      <c r="H17" s="7" t="s">
        <v>27</v>
      </c>
      <c r="I17" s="13">
        <v>0.77400000000000002</v>
      </c>
    </row>
    <row r="18" spans="1:21" x14ac:dyDescent="0.3">
      <c r="A18" s="7" t="s">
        <v>27</v>
      </c>
      <c r="B18" s="13">
        <v>0.80500000000000005</v>
      </c>
      <c r="C18" s="13">
        <v>0.74299999999999999</v>
      </c>
      <c r="E18" s="7" t="s">
        <v>362</v>
      </c>
      <c r="F18" s="13">
        <v>0.9</v>
      </c>
      <c r="H18" s="7" t="s">
        <v>31</v>
      </c>
      <c r="I18" s="13">
        <v>0.75824324324324333</v>
      </c>
    </row>
    <row r="19" spans="1:21" x14ac:dyDescent="0.3">
      <c r="A19" s="7" t="s">
        <v>23</v>
      </c>
      <c r="B19" s="13">
        <v>0.78999999999999992</v>
      </c>
      <c r="C19" s="13">
        <v>0.78833333333333322</v>
      </c>
      <c r="E19" s="7" t="s">
        <v>365</v>
      </c>
      <c r="F19" s="13">
        <v>0.90500000000000003</v>
      </c>
      <c r="H19" s="7" t="s">
        <v>14</v>
      </c>
      <c r="I19" s="13">
        <v>0.75217391304347825</v>
      </c>
    </row>
    <row r="20" spans="1:21" x14ac:dyDescent="0.3">
      <c r="A20" s="7" t="s">
        <v>271</v>
      </c>
      <c r="B20" s="13">
        <v>0.81830000000000014</v>
      </c>
      <c r="C20" s="13">
        <v>0.71210000000000007</v>
      </c>
      <c r="E20" s="7" t="s">
        <v>287</v>
      </c>
      <c r="F20" s="13">
        <v>0.90500000000000003</v>
      </c>
      <c r="H20" s="7" t="s">
        <v>271</v>
      </c>
      <c r="I20" s="8">
        <v>0.7652000000000001</v>
      </c>
    </row>
    <row r="21" spans="1:21" x14ac:dyDescent="0.3">
      <c r="E21" s="7" t="s">
        <v>347</v>
      </c>
      <c r="F21" s="13">
        <v>0.91500000000000004</v>
      </c>
    </row>
    <row r="22" spans="1:21" x14ac:dyDescent="0.3">
      <c r="E22" s="7" t="s">
        <v>296</v>
      </c>
      <c r="F22" s="13">
        <v>0.91500000000000004</v>
      </c>
    </row>
    <row r="23" spans="1:21" x14ac:dyDescent="0.3">
      <c r="E23" s="7" t="s">
        <v>346</v>
      </c>
      <c r="F23" s="13">
        <v>0.91500000000000004</v>
      </c>
    </row>
    <row r="24" spans="1:21" x14ac:dyDescent="0.3">
      <c r="E24" s="7" t="s">
        <v>322</v>
      </c>
      <c r="F24" s="13">
        <v>0.91500000000000004</v>
      </c>
    </row>
    <row r="25" spans="1:21" x14ac:dyDescent="0.3">
      <c r="E25" s="7" t="s">
        <v>279</v>
      </c>
      <c r="F25" s="13">
        <v>0.92</v>
      </c>
    </row>
    <row r="26" spans="1:21" x14ac:dyDescent="0.3">
      <c r="E26" s="7" t="s">
        <v>271</v>
      </c>
      <c r="F26" s="8">
        <v>0.9004545454545454</v>
      </c>
    </row>
    <row r="28" spans="1:21" x14ac:dyDescent="0.3">
      <c r="A28" s="26" t="s">
        <v>378</v>
      </c>
      <c r="B28" s="27"/>
      <c r="D28" s="26" t="s">
        <v>379</v>
      </c>
      <c r="E28" s="26"/>
      <c r="H28" s="26" t="s">
        <v>380</v>
      </c>
      <c r="I28" s="26"/>
    </row>
    <row r="29" spans="1:21" x14ac:dyDescent="0.3">
      <c r="A29" s="6" t="s">
        <v>78</v>
      </c>
      <c r="B29" t="s">
        <v>375</v>
      </c>
      <c r="D29" s="6" t="s">
        <v>77</v>
      </c>
      <c r="E29" t="s">
        <v>375</v>
      </c>
      <c r="H29" s="6" t="s">
        <v>8</v>
      </c>
      <c r="I29" t="s">
        <v>276</v>
      </c>
      <c r="Q29" t="str">
        <f t="shared" ref="Q29:Q35" si="1">A29</f>
        <v>عدد سنين الخبرة</v>
      </c>
      <c r="R29" t="str">
        <f t="shared" ref="R29:R35" si="2">B29</f>
        <v xml:space="preserve"> متوسط الاداء الكلي</v>
      </c>
      <c r="T29" t="str">
        <f t="shared" ref="T29" si="3">D29</f>
        <v>العمر</v>
      </c>
      <c r="U29" t="str">
        <f t="shared" ref="U29" si="4">E29</f>
        <v xml:space="preserve"> متوسط الاداء الكلي</v>
      </c>
    </row>
    <row r="30" spans="1:21" x14ac:dyDescent="0.3">
      <c r="A30" s="7" t="s">
        <v>410</v>
      </c>
      <c r="B30" s="8">
        <v>0.78121621621621629</v>
      </c>
      <c r="D30" s="7" t="s">
        <v>400</v>
      </c>
      <c r="E30" s="8">
        <v>0.71833333333333327</v>
      </c>
      <c r="H30" s="7" t="s">
        <v>16</v>
      </c>
      <c r="I30" s="40">
        <v>60</v>
      </c>
      <c r="Q30" t="str">
        <f t="shared" si="1"/>
        <v>6-10</v>
      </c>
      <c r="R30" s="20">
        <f t="shared" si="2"/>
        <v>0.78121621621621629</v>
      </c>
      <c r="T30" t="str">
        <f t="shared" ref="T30:T36" si="5">D30</f>
        <v>36-40</v>
      </c>
      <c r="U30" s="20">
        <f t="shared" ref="U30:U36" si="6">E30</f>
        <v>0.71833333333333327</v>
      </c>
    </row>
    <row r="31" spans="1:21" x14ac:dyDescent="0.3">
      <c r="A31" s="7" t="s">
        <v>409</v>
      </c>
      <c r="B31" s="8">
        <v>0.71071428571428563</v>
      </c>
      <c r="D31" s="7" t="s">
        <v>401</v>
      </c>
      <c r="E31" s="8">
        <v>0.80419999999999991</v>
      </c>
      <c r="H31" s="7" t="s">
        <v>42</v>
      </c>
      <c r="I31" s="40">
        <v>36</v>
      </c>
      <c r="Q31" t="str">
        <f t="shared" si="1"/>
        <v>26-30</v>
      </c>
      <c r="R31" s="20">
        <f t="shared" si="2"/>
        <v>0.71071428571428563</v>
      </c>
      <c r="T31" t="str">
        <f t="shared" si="5"/>
        <v>41-45</v>
      </c>
      <c r="U31" s="20">
        <f t="shared" si="6"/>
        <v>0.80419999999999991</v>
      </c>
    </row>
    <row r="32" spans="1:21" x14ac:dyDescent="0.3">
      <c r="A32" s="7" t="s">
        <v>408</v>
      </c>
      <c r="B32" s="8">
        <v>0.73066666666666658</v>
      </c>
      <c r="D32" s="7" t="s">
        <v>402</v>
      </c>
      <c r="E32" s="8">
        <v>0.71558823529411764</v>
      </c>
      <c r="H32" s="7" t="s">
        <v>20</v>
      </c>
      <c r="I32" s="40">
        <v>4</v>
      </c>
      <c r="Q32" t="str">
        <f t="shared" si="1"/>
        <v>21-25</v>
      </c>
      <c r="R32" s="20">
        <f t="shared" si="2"/>
        <v>0.73066666666666658</v>
      </c>
      <c r="T32" t="str">
        <f t="shared" si="5"/>
        <v>46-50</v>
      </c>
      <c r="U32" s="20">
        <f t="shared" si="6"/>
        <v>0.71558823529411764</v>
      </c>
    </row>
    <row r="33" spans="1:21" x14ac:dyDescent="0.3">
      <c r="A33" s="7" t="s">
        <v>407</v>
      </c>
      <c r="B33" s="8">
        <v>0.75781250000000011</v>
      </c>
      <c r="D33" s="7" t="s">
        <v>403</v>
      </c>
      <c r="E33" s="8">
        <v>0.76517857142857149</v>
      </c>
      <c r="H33" s="7" t="s">
        <v>271</v>
      </c>
      <c r="I33" s="40">
        <v>100</v>
      </c>
      <c r="Q33" t="str">
        <f t="shared" si="1"/>
        <v>16-20</v>
      </c>
      <c r="R33" s="20">
        <f t="shared" si="2"/>
        <v>0.75781250000000011</v>
      </c>
      <c r="T33" t="str">
        <f t="shared" si="5"/>
        <v>51-55</v>
      </c>
      <c r="U33" s="20">
        <f t="shared" si="6"/>
        <v>0.76517857142857149</v>
      </c>
    </row>
    <row r="34" spans="1:21" x14ac:dyDescent="0.3">
      <c r="A34" s="7" t="s">
        <v>406</v>
      </c>
      <c r="B34" s="8">
        <v>0.78220000000000012</v>
      </c>
      <c r="D34" s="7" t="s">
        <v>404</v>
      </c>
      <c r="E34" s="8">
        <v>0.77047619047619065</v>
      </c>
      <c r="Q34" t="str">
        <f t="shared" si="1"/>
        <v>11-15</v>
      </c>
      <c r="R34" s="20">
        <f t="shared" si="2"/>
        <v>0.78220000000000012</v>
      </c>
      <c r="T34" t="str">
        <f t="shared" si="5"/>
        <v>56-60</v>
      </c>
      <c r="U34" s="20">
        <f t="shared" si="6"/>
        <v>0.77047619047619065</v>
      </c>
    </row>
    <row r="35" spans="1:21" x14ac:dyDescent="0.3">
      <c r="A35" s="7" t="s">
        <v>271</v>
      </c>
      <c r="B35" s="8">
        <v>0.76519999999999966</v>
      </c>
      <c r="D35" s="7" t="s">
        <v>405</v>
      </c>
      <c r="E35" s="8">
        <v>0.74833333333333318</v>
      </c>
      <c r="H35" s="26" t="s">
        <v>394</v>
      </c>
      <c r="I35" s="27"/>
      <c r="J35" s="27"/>
      <c r="Q35" t="str">
        <f t="shared" si="1"/>
        <v>Grand Total</v>
      </c>
      <c r="R35" s="20">
        <f t="shared" si="2"/>
        <v>0.76519999999999966</v>
      </c>
      <c r="T35" t="str">
        <f t="shared" si="5"/>
        <v>61-66</v>
      </c>
      <c r="U35" s="20">
        <f t="shared" si="6"/>
        <v>0.74833333333333318</v>
      </c>
    </row>
    <row r="36" spans="1:21" x14ac:dyDescent="0.3">
      <c r="D36" s="7" t="s">
        <v>271</v>
      </c>
      <c r="E36" s="8">
        <v>0.7652000000000001</v>
      </c>
      <c r="H36" s="6" t="s">
        <v>4</v>
      </c>
      <c r="I36" s="6" t="s">
        <v>3</v>
      </c>
      <c r="J36" t="s">
        <v>276</v>
      </c>
      <c r="M36" t="str">
        <f t="shared" ref="M36:M49" si="7">H36</f>
        <v>القسم</v>
      </c>
      <c r="N36" t="str">
        <f t="shared" ref="N36:N49" si="8">I36</f>
        <v>الوظيفة</v>
      </c>
      <c r="O36" t="str">
        <f t="shared" ref="O36:O49" si="9">J36</f>
        <v>عدد الموظفين</v>
      </c>
      <c r="R36" s="20"/>
      <c r="T36" t="str">
        <f t="shared" si="5"/>
        <v>Grand Total</v>
      </c>
      <c r="U36" s="20">
        <f t="shared" si="6"/>
        <v>0.7652000000000001</v>
      </c>
    </row>
    <row r="37" spans="1:21" x14ac:dyDescent="0.3">
      <c r="H37" t="s">
        <v>31</v>
      </c>
      <c r="I37" t="s">
        <v>41</v>
      </c>
      <c r="J37">
        <v>36</v>
      </c>
      <c r="M37" t="str">
        <f t="shared" si="7"/>
        <v>Sales</v>
      </c>
      <c r="N37" t="str">
        <f t="shared" si="8"/>
        <v>Sales rep.</v>
      </c>
      <c r="O37">
        <f t="shared" si="9"/>
        <v>36</v>
      </c>
      <c r="R37" s="20"/>
      <c r="U37" s="20"/>
    </row>
    <row r="38" spans="1:21" x14ac:dyDescent="0.3">
      <c r="H38" t="s">
        <v>31</v>
      </c>
      <c r="I38" t="s">
        <v>30</v>
      </c>
      <c r="J38">
        <v>1</v>
      </c>
      <c r="M38" t="str">
        <f t="shared" si="7"/>
        <v>Sales</v>
      </c>
      <c r="N38" t="str">
        <f t="shared" si="8"/>
        <v>Sales Manager</v>
      </c>
      <c r="O38">
        <f t="shared" si="9"/>
        <v>1</v>
      </c>
      <c r="R38" s="20"/>
      <c r="U38" s="20"/>
    </row>
    <row r="39" spans="1:21" x14ac:dyDescent="0.3">
      <c r="H39" t="s">
        <v>14</v>
      </c>
      <c r="I39" t="s">
        <v>35</v>
      </c>
      <c r="J39">
        <v>10</v>
      </c>
      <c r="M39" t="str">
        <f t="shared" si="7"/>
        <v>HR</v>
      </c>
      <c r="N39" t="str">
        <f t="shared" si="8"/>
        <v>Recruitment Specialsit</v>
      </c>
      <c r="O39">
        <f t="shared" si="9"/>
        <v>10</v>
      </c>
      <c r="R39" s="20"/>
      <c r="U39" s="20"/>
    </row>
    <row r="40" spans="1:21" x14ac:dyDescent="0.3">
      <c r="H40" t="s">
        <v>14</v>
      </c>
      <c r="I40" t="s">
        <v>33</v>
      </c>
      <c r="J40">
        <v>6</v>
      </c>
      <c r="M40" t="str">
        <f t="shared" si="7"/>
        <v>HR</v>
      </c>
      <c r="N40" t="str">
        <f t="shared" si="8"/>
        <v>HR Specialist</v>
      </c>
      <c r="O40">
        <f t="shared" si="9"/>
        <v>6</v>
      </c>
      <c r="R40" s="20"/>
      <c r="U40" s="20"/>
    </row>
    <row r="41" spans="1:21" x14ac:dyDescent="0.3">
      <c r="H41" t="s">
        <v>14</v>
      </c>
      <c r="I41" t="s">
        <v>37</v>
      </c>
      <c r="J41">
        <v>6</v>
      </c>
      <c r="M41" t="str">
        <f t="shared" si="7"/>
        <v>HR</v>
      </c>
      <c r="N41" t="str">
        <f t="shared" si="8"/>
        <v>HR Coordinator</v>
      </c>
      <c r="O41">
        <f t="shared" si="9"/>
        <v>6</v>
      </c>
      <c r="R41" s="20"/>
      <c r="U41" s="20"/>
    </row>
    <row r="42" spans="1:21" x14ac:dyDescent="0.3">
      <c r="H42" t="s">
        <v>14</v>
      </c>
      <c r="I42" t="s">
        <v>13</v>
      </c>
      <c r="J42">
        <v>1</v>
      </c>
      <c r="M42" t="str">
        <f t="shared" si="7"/>
        <v>HR</v>
      </c>
      <c r="N42" t="str">
        <f t="shared" si="8"/>
        <v>HR Manager</v>
      </c>
      <c r="O42">
        <f t="shared" si="9"/>
        <v>1</v>
      </c>
      <c r="R42" s="20"/>
      <c r="U42" s="20"/>
    </row>
    <row r="43" spans="1:21" x14ac:dyDescent="0.3">
      <c r="H43" t="s">
        <v>19</v>
      </c>
      <c r="I43" t="s">
        <v>50</v>
      </c>
      <c r="J43">
        <v>12</v>
      </c>
      <c r="M43" t="str">
        <f t="shared" si="7"/>
        <v>Marketing</v>
      </c>
      <c r="N43" t="str">
        <f t="shared" si="8"/>
        <v>Products Marketing Coordinator</v>
      </c>
      <c r="O43">
        <f t="shared" si="9"/>
        <v>12</v>
      </c>
      <c r="R43" s="20"/>
      <c r="U43" s="20"/>
    </row>
    <row r="44" spans="1:21" x14ac:dyDescent="0.3">
      <c r="H44" t="s">
        <v>19</v>
      </c>
      <c r="I44" t="s">
        <v>48</v>
      </c>
      <c r="J44">
        <v>5</v>
      </c>
      <c r="M44" t="str">
        <f t="shared" si="7"/>
        <v>Marketing</v>
      </c>
      <c r="N44" t="str">
        <f t="shared" si="8"/>
        <v>Digital marketing specialist</v>
      </c>
      <c r="O44">
        <f t="shared" si="9"/>
        <v>5</v>
      </c>
      <c r="R44" s="20"/>
      <c r="U44" s="20"/>
    </row>
    <row r="45" spans="1:21" x14ac:dyDescent="0.3">
      <c r="H45" t="s">
        <v>19</v>
      </c>
      <c r="I45" t="s">
        <v>18</v>
      </c>
      <c r="J45">
        <v>1</v>
      </c>
      <c r="M45" t="str">
        <f t="shared" si="7"/>
        <v>Marketing</v>
      </c>
      <c r="N45" t="str">
        <f t="shared" si="8"/>
        <v>Marketing Manager</v>
      </c>
      <c r="O45">
        <f t="shared" si="9"/>
        <v>1</v>
      </c>
      <c r="R45" s="20"/>
      <c r="U45" s="20"/>
    </row>
    <row r="46" spans="1:21" x14ac:dyDescent="0.3">
      <c r="H46" t="s">
        <v>23</v>
      </c>
      <c r="I46" t="s">
        <v>39</v>
      </c>
      <c r="J46">
        <v>10</v>
      </c>
      <c r="M46" t="str">
        <f t="shared" si="7"/>
        <v>IT</v>
      </c>
      <c r="N46" t="str">
        <f t="shared" si="8"/>
        <v>Software developer</v>
      </c>
      <c r="O46">
        <f t="shared" si="9"/>
        <v>10</v>
      </c>
      <c r="R46" s="20"/>
      <c r="U46" s="20"/>
    </row>
    <row r="47" spans="1:21" x14ac:dyDescent="0.3">
      <c r="H47" t="s">
        <v>23</v>
      </c>
      <c r="I47" t="s">
        <v>22</v>
      </c>
      <c r="J47">
        <v>2</v>
      </c>
      <c r="M47" t="str">
        <f t="shared" si="7"/>
        <v>IT</v>
      </c>
      <c r="N47" t="str">
        <f t="shared" si="8"/>
        <v>IT Manager</v>
      </c>
      <c r="O47">
        <f t="shared" si="9"/>
        <v>2</v>
      </c>
      <c r="R47" s="20"/>
      <c r="U47" s="20"/>
    </row>
    <row r="48" spans="1:21" x14ac:dyDescent="0.3">
      <c r="H48" t="s">
        <v>27</v>
      </c>
      <c r="I48" t="s">
        <v>45</v>
      </c>
      <c r="J48">
        <v>9</v>
      </c>
      <c r="M48" t="str">
        <f t="shared" si="7"/>
        <v>Finance</v>
      </c>
      <c r="N48" t="str">
        <f t="shared" si="8"/>
        <v>Accountant</v>
      </c>
      <c r="O48">
        <f t="shared" si="9"/>
        <v>9</v>
      </c>
      <c r="R48" s="20"/>
      <c r="U48" s="20"/>
    </row>
    <row r="49" spans="1:21" x14ac:dyDescent="0.3">
      <c r="H49" t="s">
        <v>27</v>
      </c>
      <c r="I49" t="s">
        <v>26</v>
      </c>
      <c r="J49">
        <v>1</v>
      </c>
      <c r="M49" t="str">
        <f t="shared" si="7"/>
        <v>Finance</v>
      </c>
      <c r="N49" t="str">
        <f t="shared" si="8"/>
        <v>Financial Manager</v>
      </c>
      <c r="O49">
        <f t="shared" si="9"/>
        <v>1</v>
      </c>
      <c r="R49" s="20"/>
      <c r="U49" s="20"/>
    </row>
    <row r="50" spans="1:21" x14ac:dyDescent="0.3">
      <c r="R50" s="20"/>
      <c r="U50" s="20"/>
    </row>
    <row r="51" spans="1:21" x14ac:dyDescent="0.3">
      <c r="R51" s="20"/>
      <c r="U51" s="20"/>
    </row>
    <row r="52" spans="1:21" x14ac:dyDescent="0.3">
      <c r="R52" s="20"/>
      <c r="U52" s="20"/>
    </row>
    <row r="53" spans="1:21" x14ac:dyDescent="0.3">
      <c r="R53" s="20"/>
      <c r="U53" s="20"/>
    </row>
    <row r="54" spans="1:21" x14ac:dyDescent="0.3">
      <c r="R54" s="20"/>
      <c r="U54" s="20"/>
    </row>
    <row r="60" spans="1:21" x14ac:dyDescent="0.3">
      <c r="A60" t="s">
        <v>381</v>
      </c>
      <c r="B60" t="s">
        <v>382</v>
      </c>
      <c r="C60" t="s">
        <v>383</v>
      </c>
      <c r="D60" t="s">
        <v>384</v>
      </c>
      <c r="E60" t="s">
        <v>276</v>
      </c>
    </row>
    <row r="61" spans="1:21" x14ac:dyDescent="0.3">
      <c r="A61" s="16">
        <v>1317162</v>
      </c>
      <c r="B61" s="16">
        <v>13171.62</v>
      </c>
      <c r="C61" s="16">
        <v>1428</v>
      </c>
      <c r="D61" s="16">
        <v>35000</v>
      </c>
      <c r="E61" s="40">
        <v>100</v>
      </c>
    </row>
    <row r="62" spans="1:21" x14ac:dyDescent="0.3">
      <c r="A62" s="16">
        <f t="shared" ref="A62:E62" si="10">A61</f>
        <v>1317162</v>
      </c>
      <c r="B62" s="16">
        <f t="shared" si="10"/>
        <v>13171.62</v>
      </c>
      <c r="C62" s="16">
        <f t="shared" si="10"/>
        <v>1428</v>
      </c>
      <c r="D62" s="16">
        <f t="shared" si="10"/>
        <v>35000</v>
      </c>
      <c r="E62" s="14">
        <f t="shared" si="10"/>
        <v>100</v>
      </c>
    </row>
    <row r="64" spans="1:21" x14ac:dyDescent="0.3">
      <c r="A64" s="26" t="s">
        <v>386</v>
      </c>
      <c r="B64" s="26"/>
      <c r="D64" s="26" t="s">
        <v>387</v>
      </c>
      <c r="E64" s="27"/>
      <c r="G64" s="26" t="s">
        <v>390</v>
      </c>
      <c r="H64" s="27"/>
    </row>
    <row r="65" spans="1:8" x14ac:dyDescent="0.3">
      <c r="A65" s="6" t="s">
        <v>385</v>
      </c>
      <c r="B65" t="s">
        <v>382</v>
      </c>
      <c r="D65" s="6" t="s">
        <v>77</v>
      </c>
      <c r="E65" t="s">
        <v>382</v>
      </c>
      <c r="G65" s="6" t="s">
        <v>388</v>
      </c>
      <c r="H65" t="s">
        <v>389</v>
      </c>
    </row>
    <row r="66" spans="1:8" x14ac:dyDescent="0.3">
      <c r="A66" s="7" t="s">
        <v>20</v>
      </c>
      <c r="B66" s="16">
        <v>24523.75</v>
      </c>
      <c r="D66" s="7" t="s">
        <v>400</v>
      </c>
      <c r="E66" s="16">
        <v>10484</v>
      </c>
      <c r="G66" s="7" t="s">
        <v>410</v>
      </c>
      <c r="H66" s="16">
        <v>12431.351351351352</v>
      </c>
    </row>
    <row r="67" spans="1:8" x14ac:dyDescent="0.3">
      <c r="A67" s="7" t="s">
        <v>42</v>
      </c>
      <c r="B67" s="16">
        <v>13199.166666666666</v>
      </c>
      <c r="D67" s="7" t="s">
        <v>401</v>
      </c>
      <c r="E67" s="16">
        <v>15771.64</v>
      </c>
      <c r="G67" s="7" t="s">
        <v>409</v>
      </c>
      <c r="H67" s="16">
        <v>11642.428571428571</v>
      </c>
    </row>
    <row r="68" spans="1:8" x14ac:dyDescent="0.3">
      <c r="A68" s="7" t="s">
        <v>16</v>
      </c>
      <c r="B68" s="16">
        <v>12398.283333333333</v>
      </c>
      <c r="D68" s="7" t="s">
        <v>402</v>
      </c>
      <c r="E68" s="16">
        <v>10883.235294117647</v>
      </c>
      <c r="G68" s="7" t="s">
        <v>408</v>
      </c>
      <c r="H68" s="16">
        <v>15053.066666666668</v>
      </c>
    </row>
    <row r="69" spans="1:8" x14ac:dyDescent="0.3">
      <c r="A69" s="7" t="s">
        <v>271</v>
      </c>
      <c r="B69" s="16">
        <v>13171.62</v>
      </c>
      <c r="D69" s="7" t="s">
        <v>403</v>
      </c>
      <c r="E69" s="16">
        <v>12022.035714285714</v>
      </c>
      <c r="G69" s="7" t="s">
        <v>407</v>
      </c>
      <c r="H69" s="16">
        <v>11319.875</v>
      </c>
    </row>
    <row r="70" spans="1:8" x14ac:dyDescent="0.3">
      <c r="D70" s="7" t="s">
        <v>404</v>
      </c>
      <c r="E70" s="16">
        <v>14092.904761904761</v>
      </c>
      <c r="G70" s="7" t="s">
        <v>406</v>
      </c>
      <c r="H70" s="16">
        <v>14751.64</v>
      </c>
    </row>
    <row r="71" spans="1:8" x14ac:dyDescent="0.3">
      <c r="D71" s="7" t="s">
        <v>405</v>
      </c>
      <c r="E71" s="16">
        <v>12306</v>
      </c>
      <c r="G71" s="7" t="s">
        <v>271</v>
      </c>
      <c r="H71" s="16">
        <v>13171.62</v>
      </c>
    </row>
    <row r="72" spans="1:8" x14ac:dyDescent="0.3">
      <c r="A72" s="26" t="s">
        <v>391</v>
      </c>
      <c r="B72" s="27"/>
      <c r="D72" s="7" t="s">
        <v>271</v>
      </c>
      <c r="E72" s="16">
        <v>13171.62</v>
      </c>
    </row>
    <row r="73" spans="1:8" x14ac:dyDescent="0.3">
      <c r="A73" s="6" t="s">
        <v>5</v>
      </c>
      <c r="B73" t="s">
        <v>389</v>
      </c>
    </row>
    <row r="74" spans="1:8" x14ac:dyDescent="0.3">
      <c r="A74" s="7" t="s">
        <v>28</v>
      </c>
      <c r="B74" s="16">
        <v>13490</v>
      </c>
    </row>
    <row r="75" spans="1:8" x14ac:dyDescent="0.3">
      <c r="A75" s="7" t="s">
        <v>15</v>
      </c>
      <c r="B75" s="16">
        <v>13369.434782608696</v>
      </c>
    </row>
    <row r="76" spans="1:8" x14ac:dyDescent="0.3">
      <c r="A76" s="7" t="s">
        <v>24</v>
      </c>
      <c r="B76" s="16">
        <v>12029.333333333334</v>
      </c>
    </row>
    <row r="77" spans="1:8" x14ac:dyDescent="0.3">
      <c r="A77" s="7" t="s">
        <v>271</v>
      </c>
      <c r="B77" s="16">
        <v>13171.62</v>
      </c>
    </row>
    <row r="80" spans="1:8" x14ac:dyDescent="0.3">
      <c r="A80" s="26" t="s">
        <v>392</v>
      </c>
      <c r="B80" s="27"/>
    </row>
    <row r="81" spans="1:7" x14ac:dyDescent="0.3">
      <c r="A81" s="6" t="s">
        <v>4</v>
      </c>
      <c r="B81" t="s">
        <v>389</v>
      </c>
    </row>
    <row r="82" spans="1:7" x14ac:dyDescent="0.3">
      <c r="A82" s="7" t="s">
        <v>19</v>
      </c>
      <c r="B82" s="22">
        <v>14726.777777777777</v>
      </c>
    </row>
    <row r="83" spans="1:7" x14ac:dyDescent="0.3">
      <c r="A83" s="7" t="s">
        <v>27</v>
      </c>
      <c r="B83" s="22">
        <v>13976.7</v>
      </c>
    </row>
    <row r="84" spans="1:7" x14ac:dyDescent="0.3">
      <c r="A84" s="7" t="s">
        <v>31</v>
      </c>
      <c r="B84" s="22">
        <v>13788.378378378378</v>
      </c>
    </row>
    <row r="85" spans="1:7" x14ac:dyDescent="0.3">
      <c r="A85" s="7" t="s">
        <v>14</v>
      </c>
      <c r="B85" s="22">
        <v>11520.652173913044</v>
      </c>
    </row>
    <row r="86" spans="1:7" x14ac:dyDescent="0.3">
      <c r="A86" s="7" t="s">
        <v>23</v>
      </c>
      <c r="B86" s="22">
        <v>11430.666666666666</v>
      </c>
    </row>
    <row r="87" spans="1:7" x14ac:dyDescent="0.3">
      <c r="A87" s="7" t="s">
        <v>271</v>
      </c>
      <c r="B87" s="16">
        <v>13171.62</v>
      </c>
    </row>
    <row r="92" spans="1:7" x14ac:dyDescent="0.3">
      <c r="A92" s="26" t="s">
        <v>393</v>
      </c>
      <c r="B92" s="27"/>
      <c r="C92" s="27"/>
    </row>
    <row r="93" spans="1:7" x14ac:dyDescent="0.3">
      <c r="A93" s="6" t="s">
        <v>4</v>
      </c>
      <c r="B93" t="s">
        <v>389</v>
      </c>
      <c r="C93" t="s">
        <v>375</v>
      </c>
      <c r="E93" t="str">
        <f t="shared" ref="E93:G99" si="11">A93</f>
        <v>القسم</v>
      </c>
      <c r="F93" t="str">
        <f t="shared" si="11"/>
        <v>متوسط الراتب</v>
      </c>
      <c r="G93" t="str">
        <f t="shared" si="11"/>
        <v xml:space="preserve"> متوسط الاداء الكلي</v>
      </c>
    </row>
    <row r="94" spans="1:7" x14ac:dyDescent="0.3">
      <c r="A94" s="7" t="s">
        <v>23</v>
      </c>
      <c r="B94" s="16">
        <v>11430.666666666666</v>
      </c>
      <c r="C94" s="13">
        <v>0.7891666666666669</v>
      </c>
      <c r="E94" t="str">
        <f t="shared" si="11"/>
        <v>IT</v>
      </c>
      <c r="F94" s="23">
        <f t="shared" si="11"/>
        <v>11430.666666666666</v>
      </c>
      <c r="G94" s="20">
        <f t="shared" si="11"/>
        <v>0.7891666666666669</v>
      </c>
    </row>
    <row r="95" spans="1:7" x14ac:dyDescent="0.3">
      <c r="A95" s="7" t="s">
        <v>19</v>
      </c>
      <c r="B95" s="16">
        <v>14726.777777777777</v>
      </c>
      <c r="C95" s="13">
        <v>0.77527777777777784</v>
      </c>
      <c r="E95" t="str">
        <f t="shared" si="11"/>
        <v>Marketing</v>
      </c>
      <c r="F95" s="23">
        <f t="shared" si="11"/>
        <v>14726.777777777777</v>
      </c>
      <c r="G95" s="20">
        <f t="shared" si="11"/>
        <v>0.77527777777777784</v>
      </c>
    </row>
    <row r="96" spans="1:7" x14ac:dyDescent="0.3">
      <c r="A96" s="7" t="s">
        <v>27</v>
      </c>
      <c r="B96" s="16">
        <v>13976.7</v>
      </c>
      <c r="C96" s="13">
        <v>0.77400000000000002</v>
      </c>
      <c r="E96" t="str">
        <f t="shared" si="11"/>
        <v>Finance</v>
      </c>
      <c r="F96" s="23">
        <f t="shared" si="11"/>
        <v>13976.7</v>
      </c>
      <c r="G96" s="20">
        <f t="shared" si="11"/>
        <v>0.77400000000000002</v>
      </c>
    </row>
    <row r="97" spans="1:7" x14ac:dyDescent="0.3">
      <c r="A97" s="7" t="s">
        <v>31</v>
      </c>
      <c r="B97" s="16">
        <v>13788.378378378378</v>
      </c>
      <c r="C97" s="13">
        <v>0.75824324324324333</v>
      </c>
      <c r="E97" t="str">
        <f t="shared" si="11"/>
        <v>Sales</v>
      </c>
      <c r="F97" s="23">
        <f t="shared" si="11"/>
        <v>13788.378378378378</v>
      </c>
      <c r="G97" s="20">
        <f t="shared" si="11"/>
        <v>0.75824324324324333</v>
      </c>
    </row>
    <row r="98" spans="1:7" x14ac:dyDescent="0.3">
      <c r="A98" s="7" t="s">
        <v>14</v>
      </c>
      <c r="B98" s="16">
        <v>11520.652173913044</v>
      </c>
      <c r="C98" s="13">
        <v>0.75217391304347825</v>
      </c>
      <c r="E98" t="str">
        <f t="shared" si="11"/>
        <v>HR</v>
      </c>
      <c r="F98" s="23">
        <f t="shared" si="11"/>
        <v>11520.652173913044</v>
      </c>
      <c r="G98" s="20">
        <f t="shared" si="11"/>
        <v>0.75217391304347825</v>
      </c>
    </row>
    <row r="99" spans="1:7" x14ac:dyDescent="0.3">
      <c r="A99" s="7" t="s">
        <v>271</v>
      </c>
      <c r="B99" s="16">
        <v>13171.62</v>
      </c>
      <c r="C99" s="13">
        <v>0.7652000000000001</v>
      </c>
      <c r="E99" t="str">
        <f t="shared" si="11"/>
        <v>Grand Total</v>
      </c>
      <c r="F99">
        <f t="shared" si="11"/>
        <v>13171.62</v>
      </c>
      <c r="G99">
        <f t="shared" si="11"/>
        <v>0.7652000000000001</v>
      </c>
    </row>
  </sheetData>
  <mergeCells count="13">
    <mergeCell ref="A13:C13"/>
    <mergeCell ref="E13:F13"/>
    <mergeCell ref="H13:I13"/>
    <mergeCell ref="A28:B28"/>
    <mergeCell ref="D28:E28"/>
    <mergeCell ref="H28:I28"/>
    <mergeCell ref="A92:C92"/>
    <mergeCell ref="H35:J35"/>
    <mergeCell ref="A64:B64"/>
    <mergeCell ref="D64:E64"/>
    <mergeCell ref="G64:H64"/>
    <mergeCell ref="A72:B72"/>
    <mergeCell ref="A80:B8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3034A-F806-4247-BCEC-DE7948F3C3B9}">
  <dimension ref="D5:Q35"/>
  <sheetViews>
    <sheetView zoomScale="45" zoomScaleNormal="45" workbookViewId="0"/>
  </sheetViews>
  <sheetFormatPr defaultRowHeight="14.4" x14ac:dyDescent="0.3"/>
  <cols>
    <col min="15" max="15" width="27.88671875" bestFit="1" customWidth="1"/>
  </cols>
  <sheetData>
    <row r="5" spans="17:17" ht="22.8" x14ac:dyDescent="0.4">
      <c r="Q5" s="19" t="s">
        <v>395</v>
      </c>
    </row>
    <row r="30" spans="10:16" ht="22.8" x14ac:dyDescent="0.4">
      <c r="O30" s="19" t="s">
        <v>395</v>
      </c>
    </row>
    <row r="31" spans="10:16" x14ac:dyDescent="0.3">
      <c r="M31" s="31" t="s">
        <v>396</v>
      </c>
      <c r="N31" s="32"/>
      <c r="O31" s="32"/>
      <c r="P31" s="33"/>
    </row>
    <row r="32" spans="10:16" ht="45.6" customHeight="1" x14ac:dyDescent="0.3">
      <c r="J32" s="24"/>
      <c r="M32" s="34"/>
      <c r="N32" s="35"/>
      <c r="O32" s="35"/>
      <c r="P32" s="36"/>
    </row>
    <row r="33" spans="4:16" ht="15.6" x14ac:dyDescent="0.3">
      <c r="D33" s="17"/>
    </row>
    <row r="34" spans="4:16" ht="68.400000000000006" customHeight="1" x14ac:dyDescent="0.3">
      <c r="D34" s="37" t="s">
        <v>399</v>
      </c>
      <c r="E34" s="38"/>
      <c r="F34" s="38"/>
      <c r="G34" s="39"/>
      <c r="M34" s="28" t="s">
        <v>397</v>
      </c>
      <c r="N34" s="29"/>
      <c r="O34" s="30"/>
      <c r="P34" s="18"/>
    </row>
    <row r="35" spans="4:16" x14ac:dyDescent="0.3">
      <c r="D35" s="25"/>
      <c r="E35" s="25"/>
      <c r="F35" s="25"/>
      <c r="G35" s="25"/>
    </row>
  </sheetData>
  <mergeCells count="3">
    <mergeCell ref="M34:O34"/>
    <mergeCell ref="M31:P32"/>
    <mergeCell ref="D34:G3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2A5D-DD0C-4C15-B57D-BEB26F4BFE78}">
  <dimension ref="A1"/>
  <sheetViews>
    <sheetView zoomScale="45" zoomScaleNormal="4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2D33-305F-4FBF-AE70-A94A2E6975F5}">
  <dimension ref="A1"/>
  <sheetViews>
    <sheetView tabSelected="1" zoomScale="45" zoomScaleNormal="4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E6E602-7BB0-4D8E-880E-253CB10A2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vt:lpstr>
      <vt:lpstr>Marketing</vt:lpstr>
      <vt:lpstr>IT</vt:lpstr>
      <vt:lpstr>HR</vt:lpstr>
      <vt:lpstr>Finance</vt:lpstr>
      <vt:lpstr>All</vt:lpstr>
      <vt:lpstr>Pivot Tables</vt:lpstr>
      <vt:lpstr>Home</vt:lpstr>
      <vt:lpstr>Employee Performance Dashboard</vt:lpstr>
      <vt:lpstr>Empoyee Salaries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Abanoub Magdy</cp:lastModifiedBy>
  <dcterms:created xsi:type="dcterms:W3CDTF">2024-01-18T11:22:09Z</dcterms:created>
  <dcterms:modified xsi:type="dcterms:W3CDTF">2025-03-05T17:55:11Z</dcterms:modified>
</cp:coreProperties>
</file>