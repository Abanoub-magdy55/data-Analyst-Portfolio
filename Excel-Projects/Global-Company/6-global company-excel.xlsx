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202300"/>
  <mc:AlternateContent xmlns:mc="http://schemas.openxmlformats.org/markup-compatibility/2006">
    <mc:Choice Requires="x15">
      <x15ac:absPath xmlns:x15ac="http://schemas.microsoft.com/office/spreadsheetml/2010/11/ac" url="C:\Users\Mariam\Desktop\Route\projects\"/>
    </mc:Choice>
  </mc:AlternateContent>
  <xr:revisionPtr revIDLastSave="0" documentId="13_ncr:1_{59DFD835-4570-4ECE-9065-CEA8B1B337B3}" xr6:coauthVersionLast="47" xr6:coauthVersionMax="47" xr10:uidLastSave="{00000000-0000-0000-0000-000000000000}"/>
  <bookViews>
    <workbookView xWindow="-108" yWindow="-108" windowWidth="23256" windowHeight="12576" activeTab="2" xr2:uid="{CDFAC73E-61D7-4F79-8B72-BA1C3FF608A9}"/>
  </bookViews>
  <sheets>
    <sheet name="Sheet1 (2)" sheetId="2" r:id="rId1"/>
    <sheet name="Sheet2" sheetId="4" r:id="rId2"/>
    <sheet name="Sheet3" sheetId="5" r:id="rId3"/>
  </sheets>
  <definedNames>
    <definedName name="ExternalData_1" localSheetId="0" hidden="1">'Sheet1 (2)'!$A$1:$Q$55</definedName>
    <definedName name="Slicer_Destination_country">#N/A</definedName>
    <definedName name="Slicer_Language">#N/A</definedName>
    <definedName name="Slicer_Months__received_date">#N/A</definedName>
    <definedName name="Slicer_shipping_method">#N/A</definedName>
    <definedName name="Slicer_Years__received_date">#N/A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4" l="1"/>
  <c r="E35" i="4"/>
  <c r="D36" i="4"/>
  <c r="E36" i="4"/>
  <c r="D37" i="4"/>
  <c r="E37" i="4"/>
  <c r="D38" i="4"/>
  <c r="E38" i="4"/>
  <c r="D39" i="4"/>
  <c r="E39" i="4"/>
  <c r="D40" i="4"/>
  <c r="E40" i="4"/>
  <c r="D41" i="4"/>
  <c r="E41" i="4"/>
  <c r="D42" i="4"/>
  <c r="E42" i="4"/>
  <c r="F15" i="4"/>
  <c r="E15" i="4"/>
  <c r="D15" i="4"/>
  <c r="C15" i="4"/>
  <c r="B15" i="4"/>
  <c r="A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2F589B-9956-42D9-9F07-76E4A811BDDF}"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3FFA540D-24C6-4831-BD4A-D15368FD1BAC}" keepAlive="1" name="Query - Sheet2" description="Connection to the 'Sheet2' query in the workbook." type="5" refreshedVersion="0" background="1">
    <dbPr connection="Provider=Microsoft.Mashup.OleDb.1;Data Source=$Workbook$;Location=Sheet2;Extended Properties=&quot;&quot;" command="SELECT * FROM [Sheet2]"/>
  </connection>
</connections>
</file>

<file path=xl/sharedStrings.xml><?xml version="1.0" encoding="utf-8"?>
<sst xmlns="http://schemas.openxmlformats.org/spreadsheetml/2006/main" count="750" uniqueCount="166">
  <si>
    <t>ID</t>
  </si>
  <si>
    <t>Customer Name</t>
  </si>
  <si>
    <t>Number</t>
  </si>
  <si>
    <t>E-mail</t>
  </si>
  <si>
    <t>Address</t>
  </si>
  <si>
    <t>Language</t>
  </si>
  <si>
    <t>Order</t>
  </si>
  <si>
    <t>received date</t>
  </si>
  <si>
    <t>Type of goods</t>
  </si>
  <si>
    <t>shipping method</t>
  </si>
  <si>
    <t>Weight</t>
  </si>
  <si>
    <t>Delivery days</t>
  </si>
  <si>
    <t>Date Expected</t>
  </si>
  <si>
    <t>Order Status</t>
  </si>
  <si>
    <t>Shipping cost</t>
  </si>
  <si>
    <t>325698</t>
  </si>
  <si>
    <t>Shrouk Ashraf</t>
  </si>
  <si>
    <t>221111111</t>
  </si>
  <si>
    <t>Shrouk Ashraf32@shipping.com.eg</t>
  </si>
  <si>
    <t>Greece</t>
  </si>
  <si>
    <t>English</t>
  </si>
  <si>
    <t>633331</t>
  </si>
  <si>
    <t>Unbreakable</t>
  </si>
  <si>
    <t>Air</t>
  </si>
  <si>
    <t>Spain</t>
  </si>
  <si>
    <t>Delivered</t>
  </si>
  <si>
    <t>978944</t>
  </si>
  <si>
    <t>Abeer Essam</t>
  </si>
  <si>
    <t>221111112</t>
  </si>
  <si>
    <t>Abeer Essam97@shipping.com.eg</t>
  </si>
  <si>
    <t>Germany</t>
  </si>
  <si>
    <t xml:space="preserve">German </t>
  </si>
  <si>
    <t>871676</t>
  </si>
  <si>
    <t>breakable</t>
  </si>
  <si>
    <t>Ocean</t>
  </si>
  <si>
    <t>France</t>
  </si>
  <si>
    <t>on way</t>
  </si>
  <si>
    <t>326698</t>
  </si>
  <si>
    <t>Mariam Sayed</t>
  </si>
  <si>
    <t>221111113</t>
  </si>
  <si>
    <t>Mariam Sayed32@shipping.com.eg</t>
  </si>
  <si>
    <t>Egypt</t>
  </si>
  <si>
    <t>369239</t>
  </si>
  <si>
    <t>Document</t>
  </si>
  <si>
    <t>Road</t>
  </si>
  <si>
    <t>Turkey</t>
  </si>
  <si>
    <t>Albania</t>
  </si>
  <si>
    <t>rejected</t>
  </si>
  <si>
    <t>785432</t>
  </si>
  <si>
    <t>Gehad Samy</t>
  </si>
  <si>
    <t>221111114</t>
  </si>
  <si>
    <t>Gehad Samy78@shipping.com.eg</t>
  </si>
  <si>
    <t>690844</t>
  </si>
  <si>
    <t>Tunisia</t>
  </si>
  <si>
    <t>578631</t>
  </si>
  <si>
    <t>Gerges Maher</t>
  </si>
  <si>
    <t>221111115</t>
  </si>
  <si>
    <t>Gerges Maher57@shipping.com.eg</t>
  </si>
  <si>
    <t>425299</t>
  </si>
  <si>
    <t>147424</t>
  </si>
  <si>
    <t>Sherif Nagy</t>
  </si>
  <si>
    <t>221111116</t>
  </si>
  <si>
    <t>Sherif Nagy14@shipping.com.eg</t>
  </si>
  <si>
    <t>473665</t>
  </si>
  <si>
    <t>152689</t>
  </si>
  <si>
    <t>Abdelrahman Adel</t>
  </si>
  <si>
    <t>221111117</t>
  </si>
  <si>
    <t>Abdelrahman Adel15@shipping.com.eg</t>
  </si>
  <si>
    <t>252449</t>
  </si>
  <si>
    <t>842561</t>
  </si>
  <si>
    <t>392541</t>
  </si>
  <si>
    <t>Bishoy Ibrahim</t>
  </si>
  <si>
    <t>221111118</t>
  </si>
  <si>
    <t>Bishoy Ibrahim39@shipping.com.eg</t>
  </si>
  <si>
    <t>196953</t>
  </si>
  <si>
    <t>985245</t>
  </si>
  <si>
    <t>Kholoud Mamdouh</t>
  </si>
  <si>
    <t>221111119</t>
  </si>
  <si>
    <t>Kholoud Mamdouh98@shipping.com.eg</t>
  </si>
  <si>
    <t>174067</t>
  </si>
  <si>
    <t>785532</t>
  </si>
  <si>
    <t>Farha Gamal</t>
  </si>
  <si>
    <t>221111120</t>
  </si>
  <si>
    <t>Farha Gamal78@shipping.com.eg</t>
  </si>
  <si>
    <t>670189</t>
  </si>
  <si>
    <t>324745</t>
  </si>
  <si>
    <t>Mervat Mahmoud</t>
  </si>
  <si>
    <t>221111121</t>
  </si>
  <si>
    <t>Mervat Mahmoud32@shipping.com.eg</t>
  </si>
  <si>
    <t>414251</t>
  </si>
  <si>
    <t>128273</t>
  </si>
  <si>
    <t>342085</t>
  </si>
  <si>
    <t>512151</t>
  </si>
  <si>
    <t>605022</t>
  </si>
  <si>
    <t>880643</t>
  </si>
  <si>
    <t>813357</t>
  </si>
  <si>
    <t>370020</t>
  </si>
  <si>
    <t>661724</t>
  </si>
  <si>
    <t>329404</t>
  </si>
  <si>
    <t>US</t>
  </si>
  <si>
    <t>312503</t>
  </si>
  <si>
    <t>746462</t>
  </si>
  <si>
    <t>670237</t>
  </si>
  <si>
    <t>621395</t>
  </si>
  <si>
    <t>974004</t>
  </si>
  <si>
    <t>378960</t>
  </si>
  <si>
    <t>530416</t>
  </si>
  <si>
    <t>251025</t>
  </si>
  <si>
    <t>886101</t>
  </si>
  <si>
    <t>549314</t>
  </si>
  <si>
    <t>163017</t>
  </si>
  <si>
    <t>891248</t>
  </si>
  <si>
    <t>899519</t>
  </si>
  <si>
    <t>967149</t>
  </si>
  <si>
    <t>767274</t>
  </si>
  <si>
    <t>779415</t>
  </si>
  <si>
    <t>903575</t>
  </si>
  <si>
    <t>506637</t>
  </si>
  <si>
    <t>120946</t>
  </si>
  <si>
    <t>930934</t>
  </si>
  <si>
    <t>749930</t>
  </si>
  <si>
    <t>703382</t>
  </si>
  <si>
    <t>329723</t>
  </si>
  <si>
    <t>424746</t>
  </si>
  <si>
    <t>556885</t>
  </si>
  <si>
    <t>663009</t>
  </si>
  <si>
    <t>634507</t>
  </si>
  <si>
    <t>247112</t>
  </si>
  <si>
    <t>135896</t>
  </si>
  <si>
    <t>161633</t>
  </si>
  <si>
    <t>395060</t>
  </si>
  <si>
    <t>798935</t>
  </si>
  <si>
    <t>891332</t>
  </si>
  <si>
    <t>Grand Total</t>
  </si>
  <si>
    <t>Origin Cuntry</t>
  </si>
  <si>
    <t>Destination country</t>
  </si>
  <si>
    <t>Total Orders</t>
  </si>
  <si>
    <t>Total Shipping Cost</t>
  </si>
  <si>
    <t>Average Delivery days</t>
  </si>
  <si>
    <t>Number of rejected orders</t>
  </si>
  <si>
    <t>Rate of order Status</t>
  </si>
  <si>
    <t>Highest Paying Customer</t>
  </si>
  <si>
    <t>#Orders</t>
  </si>
  <si>
    <t>Number Of Orders</t>
  </si>
  <si>
    <t>Shipping Method</t>
  </si>
  <si>
    <t>Type Of Goods</t>
  </si>
  <si>
    <t>Number Of Oredrs</t>
  </si>
  <si>
    <t>Jan</t>
  </si>
  <si>
    <t>Oct</t>
  </si>
  <si>
    <t>Nov</t>
  </si>
  <si>
    <t>Dec</t>
  </si>
  <si>
    <t>Total Shipping cost</t>
  </si>
  <si>
    <t>Destination Country</t>
  </si>
  <si>
    <t>Origin Country</t>
  </si>
  <si>
    <t>Number Of Orders By Shipping Method</t>
  </si>
  <si>
    <t>Total Shipping Cost By Type Of Goods</t>
  </si>
  <si>
    <t>Distribution Of Orders By Address</t>
  </si>
  <si>
    <t>Avg. Delivery Days By Shipping Method</t>
  </si>
  <si>
    <t>Total Shipping Cost By Expected Date ( Month )</t>
  </si>
  <si>
    <t>Date Expected By Month</t>
  </si>
  <si>
    <t>Avg. Delivery Days By Destination Country</t>
  </si>
  <si>
    <t>Number Of Orders By Origin Country</t>
  </si>
  <si>
    <t>Average of Delivery days</t>
  </si>
  <si>
    <t>Total Weight By Shipping Method</t>
  </si>
  <si>
    <t xml:space="preserve">Global Company
Dashboard </t>
  </si>
  <si>
    <t>Sum of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</si>
</sst>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
    <numFmt numFmtId="166" formatCode="&quot;$&quot;#,##0"/>
    <numFmt numFmtId="167" formatCode="_-&quot;$&quot;* #,##0_-;\-&quot;$&quot;* #,##0_-;_-&quot;$&quot;* &quot;-&quot;??_-;_-@_-"/>
    <numFmt numFmtId="168" formatCode="0\ &quot;kg&quot;"/>
    <numFmt numFmtId="169" formatCode="0\ &quot;Kg&quot;"/>
  </numFmts>
  <fonts count="5" x14ac:knownFonts="1">
    <font>
      <sz val="11"/>
      <color theme="1"/>
      <name val="Aptos Narrow"/>
      <family val="2"/>
      <scheme val="minor"/>
    </font>
    <font>
      <sz val="8"/>
      <name val="Aptos Narrow"/>
      <family val="2"/>
      <scheme val="minor"/>
    </font>
    <font>
      <b/>
      <sz val="11"/>
      <color theme="0"/>
      <name val="Aptos Narrow"/>
      <family val="2"/>
      <scheme val="minor"/>
    </font>
    <font>
      <sz val="11"/>
      <color theme="0"/>
      <name val="Aptos Narrow"/>
      <family val="2"/>
      <scheme val="minor"/>
    </font>
    <font>
      <sz val="24"/>
      <color theme="0" tint="-0.249977111117893"/>
      <name val="Bauhaus 93"/>
      <family val="5"/>
    </font>
  </fonts>
  <fills count="4">
    <fill>
      <patternFill patternType="none"/>
    </fill>
    <fill>
      <patternFill patternType="gray125"/>
    </fill>
    <fill>
      <patternFill patternType="solid">
        <fgColor rgb="FF8D0B41"/>
        <bgColor indexed="64"/>
      </patternFill>
    </fill>
    <fill>
      <patternFill patternType="solid">
        <fgColor rgb="FFAF2655"/>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14" fontId="0" fillId="0" borderId="0" xfId="0" applyNumberFormat="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 fontId="0" fillId="0" borderId="0" xfId="0" applyNumberFormat="1"/>
    <xf numFmtId="166" fontId="0" fillId="0" borderId="0" xfId="0" applyNumberFormat="1"/>
    <xf numFmtId="167" fontId="0" fillId="0" borderId="0" xfId="0" applyNumberFormat="1"/>
    <xf numFmtId="9" fontId="0" fillId="0" borderId="0" xfId="0" applyNumberFormat="1"/>
    <xf numFmtId="0" fontId="3" fillId="2" borderId="0" xfId="0" applyFont="1" applyFill="1"/>
    <xf numFmtId="0" fontId="2" fillId="2" borderId="1" xfId="0" applyFont="1" applyFill="1" applyBorder="1"/>
    <xf numFmtId="0" fontId="2" fillId="0" borderId="1" xfId="0" applyFont="1" applyBorder="1"/>
    <xf numFmtId="0" fontId="3" fillId="3" borderId="0" xfId="0" applyFont="1" applyFill="1"/>
    <xf numFmtId="0" fontId="3" fillId="0" borderId="0" xfId="0" applyFont="1"/>
    <xf numFmtId="167" fontId="3" fillId="0" borderId="0" xfId="0" applyNumberFormat="1" applyFont="1"/>
    <xf numFmtId="164" fontId="3" fillId="0" borderId="0" xfId="0" applyNumberFormat="1" applyFont="1"/>
    <xf numFmtId="9" fontId="3" fillId="0" borderId="0" xfId="0" applyNumberFormat="1" applyFont="1"/>
    <xf numFmtId="2" fontId="3" fillId="3" borderId="0" xfId="0" applyNumberFormat="1" applyFont="1" applyFill="1"/>
    <xf numFmtId="168" fontId="0" fillId="0" borderId="0" xfId="0" applyNumberFormat="1"/>
    <xf numFmtId="169" fontId="0" fillId="0" borderId="0" xfId="0" applyNumberFormat="1"/>
    <xf numFmtId="0" fontId="2" fillId="2" borderId="1" xfId="0" applyFont="1" applyFill="1" applyBorder="1" applyAlignment="1">
      <alignment horizontal="center"/>
    </xf>
    <xf numFmtId="0" fontId="4" fillId="2" borderId="0" xfId="0" applyFont="1" applyFill="1" applyAlignment="1">
      <alignment horizontal="left" vertical="center" wrapText="1"/>
    </xf>
  </cellXfs>
  <cellStyles count="1">
    <cellStyle name="Normal" xfId="0" builtinId="0"/>
  </cellStyles>
  <dxfs count="88">
    <dxf>
      <numFmt numFmtId="166" formatCode="&quot;$&quot;#,##0"/>
    </dxf>
    <dxf>
      <numFmt numFmtId="19" formatCode="d/mm/yyyy"/>
    </dxf>
    <dxf>
      <numFmt numFmtId="1" formatCode="0"/>
    </dxf>
    <dxf>
      <numFmt numFmtId="19" formatCode="d/mm/yyyy"/>
    </dxf>
    <dxf>
      <numFmt numFmtId="167" formatCode="_-&quot;$&quot;* #,##0_-;\-&quot;$&quot;* #,##0_-;_-&quot;$&quot;* &quot;-&quot;??_-;_-@_-"/>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alignment horizontal="general"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font>
        <color theme="0"/>
      </font>
      <fill>
        <patternFill patternType="solid">
          <fgColor indexed="64"/>
          <bgColor rgb="FFAF2655"/>
        </patternFill>
      </fill>
      <alignment horizontal="general" vertical="bottom" textRotation="0" wrapText="0" indent="0" justifyLastLine="0" shrinkToFit="0" readingOrder="0"/>
    </dxf>
    <dxf>
      <font>
        <color theme="0"/>
      </font>
      <numFmt numFmtId="0" formatCode="General"/>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dxf>
    <dxf>
      <fill>
        <patternFill patternType="solid">
          <bgColor rgb="FF8D0B41"/>
        </patternFill>
      </fill>
    </dxf>
    <dxf>
      <numFmt numFmtId="167" formatCode="_-&quot;$&quot;* #,##0_-;\-&quot;$&quot;* #,##0_-;_-&quot;$&quot;* &quot;-&quot;??_-;_-@_-"/>
    </dxf>
    <dxf>
      <numFmt numFmtId="164" formatCode="0.0"/>
    </dxf>
    <dxf>
      <font>
        <color theme="0"/>
      </font>
    </dxf>
    <dxf>
      <font>
        <color theme="0"/>
      </font>
    </dxf>
    <dxf>
      <fill>
        <patternFill patternType="solid">
          <bgColor rgb="FF8D0B41"/>
        </patternFill>
      </fill>
    </dxf>
    <dxf>
      <fill>
        <patternFill patternType="solid">
          <bgColor rgb="FF8D0B41"/>
        </patternFill>
      </fill>
    </dxf>
    <dxf>
      <font>
        <color theme="0"/>
      </font>
      <fill>
        <patternFill patternType="solid">
          <fgColor indexed="64"/>
          <bgColor rgb="FFAF2655"/>
        </patternFill>
      </fill>
      <alignment horizontal="general" vertical="bottom" textRotation="0" wrapText="0" indent="0" justifyLastLine="0" shrinkToFit="0" readingOrder="0"/>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numFmt numFmtId="0" formatCode="General"/>
      <fill>
        <patternFill patternType="solid">
          <fgColor indexed="64"/>
          <bgColor rgb="FFAF2655"/>
        </patternFill>
      </fill>
    </dxf>
    <dxf>
      <font>
        <color theme="0"/>
      </font>
      <fill>
        <patternFill patternType="solid">
          <fgColor indexed="64"/>
          <bgColor rgb="FFAF2655"/>
        </patternFill>
      </fill>
      <alignment horizontal="general" vertical="bottom" textRotation="0" wrapText="0" indent="0" justifyLastLine="0" shrinkToFit="0" readingOrder="0"/>
    </dxf>
    <dxf>
      <font>
        <color theme="0"/>
      </font>
    </dxf>
    <dxf>
      <font>
        <color theme="0"/>
      </font>
    </dxf>
    <dxf>
      <fill>
        <patternFill patternType="solid">
          <bgColor rgb="FF8D0B41"/>
        </patternFill>
      </fill>
    </dxf>
    <dxf>
      <fill>
        <patternFill patternType="solid">
          <bgColor rgb="FF8D0B41"/>
        </patternFill>
      </fill>
    </dxf>
    <dxf>
      <numFmt numFmtId="13" formatCode="0%"/>
    </dxf>
    <dxf>
      <numFmt numFmtId="165" formatCode="0.0%"/>
    </dxf>
    <dxf>
      <numFmt numFmtId="167" formatCode="_-&quot;$&quot;* #,##0_-;\-&quot;$&quot;* #,##0_-;_-&quot;$&quot;* &quot;-&quot;??_-;_-@_-"/>
    </dxf>
    <dxf>
      <numFmt numFmtId="167" formatCode="_-&quot;$&quot;* #,##0_-;\-&quot;$&quot;* #,##0_-;_-&quot;$&quot;* &quot;-&quot;??_-;_-@_-"/>
    </dxf>
    <dxf>
      <numFmt numFmtId="167" formatCode="_-&quot;$&quot;* #,##0_-;\-&quot;$&quot;* #,##0_-;_-&quot;$&quot;* &quot;-&quot;??_-;_-@_-"/>
    </dxf>
    <dxf>
      <numFmt numFmtId="167" formatCode="_-&quot;$&quot;* #,##0_-;\-&quot;$&quot;* #,##0_-;_-&quot;$&quot;* &quot;-&quot;??_-;_-@_-"/>
    </dxf>
    <dxf>
      <font>
        <color theme="0"/>
      </font>
      <fill>
        <patternFill patternType="solid">
          <fgColor indexed="64"/>
          <bgColor rgb="FFAF2655"/>
        </patternFill>
      </fill>
      <alignment horizontal="general" vertical="bottom" textRotation="0" wrapText="0" indent="0" justifyLastLine="0" shrinkToFit="0" readingOrder="0"/>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alignment horizontal="general" vertical="bottom" textRotation="0" wrapText="0" indent="0" justifyLastLine="0" shrinkToFit="0" readingOrder="0"/>
    </dxf>
    <dxf>
      <font>
        <color theme="0"/>
      </font>
      <numFmt numFmtId="0" formatCode="General"/>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numFmt numFmtId="2" formatCode="0.00"/>
    </dxf>
    <dxf>
      <font>
        <color theme="0"/>
      </font>
      <fill>
        <patternFill patternType="solid">
          <fgColor indexed="64"/>
          <bgColor rgb="FFAF2655"/>
        </patternFill>
      </fill>
      <alignment horizontal="general" vertical="bottom" textRotation="0" wrapText="0" indent="0" justifyLastLine="0" shrinkToFit="0" readingOrder="0"/>
    </dxf>
    <dxf>
      <font>
        <color theme="0"/>
      </font>
      <fill>
        <patternFill patternType="solid">
          <fgColor indexed="64"/>
          <bgColor rgb="FFAF2655"/>
        </patternFill>
      </fill>
    </dxf>
    <dxf>
      <font>
        <color theme="0"/>
      </font>
      <fill>
        <patternFill patternType="solid">
          <fgColor indexed="64"/>
          <bgColor rgb="FFAF2655"/>
        </patternFill>
      </fill>
    </dxf>
    <dxf>
      <font>
        <color theme="0"/>
      </font>
      <numFmt numFmtId="0" formatCode="General"/>
      <fill>
        <patternFill patternType="solid">
          <fgColor indexed="64"/>
          <bgColor rgb="FFAF2655"/>
        </patternFill>
      </fill>
    </dxf>
    <dxf>
      <font>
        <color theme="0"/>
      </font>
    </dxf>
    <dxf>
      <font>
        <color theme="0"/>
      </font>
    </dxf>
    <dxf>
      <fill>
        <patternFill patternType="solid">
          <bgColor rgb="FF8D0B41"/>
        </patternFill>
      </fill>
    </dxf>
    <dxf>
      <fill>
        <patternFill patternType="solid">
          <bgColor rgb="FF8D0B41"/>
        </patternFill>
      </fill>
    </dxf>
    <dxf>
      <numFmt numFmtId="0" formatCode="General"/>
    </dxf>
    <dxf>
      <numFmt numFmtId="165" formatCode="0.0%"/>
    </dxf>
    <dxf>
      <numFmt numFmtId="169" formatCode="0\ &quot;Kg&quot;"/>
    </dxf>
    <dxf>
      <font>
        <color theme="0"/>
      </font>
      <fill>
        <patternFill patternType="solid">
          <fgColor indexed="64"/>
          <bgColor rgb="FFAF2655"/>
        </patternFill>
      </fill>
    </dxf>
    <dxf>
      <font>
        <color theme="0"/>
      </font>
      <fill>
        <patternFill patternType="solid">
          <fgColor indexed="64"/>
          <bgColor rgb="FFAF2655"/>
        </patternFill>
      </fill>
      <alignment horizontal="general" vertical="bottom" textRotation="0" wrapText="0" indent="0" justifyLastLine="0" shrinkToFit="0" readingOrder="0"/>
    </dxf>
    <dxf>
      <font>
        <color theme="0"/>
      </font>
      <numFmt numFmtId="0" formatCode="General"/>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dxf>
    <dxf>
      <font>
        <color theme="0"/>
      </font>
      <fill>
        <patternFill patternType="solid">
          <fgColor indexed="64"/>
          <bgColor rgb="FFAF2655"/>
        </patternFill>
      </fill>
      <alignment horizontal="general" vertical="bottom" textRotation="0" wrapText="0" indent="0" justifyLastLine="0" shrinkToFit="0" readingOrder="0"/>
    </dxf>
    <dxf>
      <font>
        <color theme="0"/>
      </font>
    </dxf>
    <dxf>
      <font>
        <color theme="0"/>
      </font>
    </dxf>
    <dxf>
      <fill>
        <patternFill patternType="solid">
          <bgColor rgb="FFAF2655"/>
        </patternFill>
      </fill>
    </dxf>
    <dxf>
      <fill>
        <patternFill patternType="solid">
          <bgColor rgb="FFAF265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6"/>
        <color rgb="FFEEEEEE"/>
      </font>
    </dxf>
    <dxf>
      <font>
        <b/>
        <i val="0"/>
        <sz val="18"/>
        <color rgb="FF8D0B41"/>
      </font>
      <fill>
        <patternFill>
          <bgColor rgb="FF8D0B41"/>
        </patternFill>
      </fill>
    </dxf>
  </dxfs>
  <tableStyles count="1" defaultTableStyle="TableStyleMedium2" defaultPivotStyle="PivotStyleLight16">
    <tableStyle name="Slicer Style 1" pivot="0" table="0" count="6" xr9:uid="{2CDAD21B-33D4-4F5A-9FD8-6A7250C86CAC}">
      <tableStyleElement type="wholeTable" dxfId="87"/>
      <tableStyleElement type="headerRow" dxfId="86"/>
    </tableStyle>
  </tableStyles>
  <colors>
    <mruColors>
      <color rgb="FFAF2655"/>
      <color rgb="FF8D0B41"/>
      <color rgb="FFEEEEEE"/>
      <color rgb="FFD39D55"/>
      <color rgb="FFFFFFFF"/>
      <color rgb="FFD6CFB4"/>
    </mruColors>
  </colors>
  <extLst>
    <ext xmlns:x14="http://schemas.microsoft.com/office/spreadsheetml/2009/9/main" uri="{46F421CA-312F-682f-3DD2-61675219B42D}">
      <x14:dxfs count="4">
        <dxf>
          <font>
            <color rgb="FF8D0B41"/>
          </font>
          <fill>
            <patternFill>
              <bgColor rgb="FFEEEEEE"/>
            </patternFill>
          </fill>
        </dxf>
        <dxf>
          <fill>
            <patternFill>
              <bgColor rgb="FFEEEEEE"/>
            </patternFill>
          </fill>
        </dxf>
        <dxf>
          <font>
            <b/>
            <i val="0"/>
            <sz val="16"/>
            <color rgb="FF8D0B41"/>
          </font>
          <fill>
            <patternFill>
              <bgColor rgb="FFEEEEEE"/>
            </patternFill>
          </fill>
          <border diagonalUp="0" diagonalDown="0">
            <left/>
            <right/>
            <top/>
            <bottom/>
            <vertical/>
            <horizontal/>
          </border>
        </dxf>
        <dxf>
          <fill>
            <patternFill>
              <bgColor theme="0"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onnections" Target="connection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11.xlsx]Sheet2!PivotTable8</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EEEEEE"/>
                </a:solidFill>
              </a:rPr>
              <a:t>Number Of Orders By Shipping Method</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EE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EE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Sheet2!$B$19</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Sheet2!$A$20:$A$23</c:f>
              <c:strCache>
                <c:ptCount val="3"/>
                <c:pt idx="0">
                  <c:v>Air</c:v>
                </c:pt>
                <c:pt idx="1">
                  <c:v>Ocean</c:v>
                </c:pt>
                <c:pt idx="2">
                  <c:v>Road</c:v>
                </c:pt>
              </c:strCache>
            </c:strRef>
          </c:cat>
          <c:val>
            <c:numRef>
              <c:f>Sheet2!$B$20:$B$23</c:f>
              <c:numCache>
                <c:formatCode>General</c:formatCode>
                <c:ptCount val="3"/>
                <c:pt idx="0">
                  <c:v>13</c:v>
                </c:pt>
                <c:pt idx="1">
                  <c:v>15</c:v>
                </c:pt>
                <c:pt idx="2">
                  <c:v>26</c:v>
                </c:pt>
              </c:numCache>
            </c:numRef>
          </c:val>
          <c:extLst>
            <c:ext xmlns:c16="http://schemas.microsoft.com/office/drawing/2014/chart" uri="{C3380CC4-5D6E-409C-BE32-E72D297353CC}">
              <c16:uniqueId val="{00000000-8F90-4DFF-997D-16C39CA7F7C2}"/>
            </c:ext>
          </c:extLst>
        </c:ser>
        <c:dLbls>
          <c:dLblPos val="outEnd"/>
          <c:showLegendKey val="0"/>
          <c:showVal val="1"/>
          <c:showCatName val="0"/>
          <c:showSerName val="0"/>
          <c:showPercent val="0"/>
          <c:showBubbleSize val="0"/>
        </c:dLbls>
        <c:gapWidth val="182"/>
        <c:axId val="1307720783"/>
        <c:axId val="1307720303"/>
      </c:barChart>
      <c:catAx>
        <c:axId val="130772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EEEEEE"/>
                </a:solidFill>
                <a:latin typeface="+mn-lt"/>
                <a:ea typeface="+mn-ea"/>
                <a:cs typeface="+mn-cs"/>
              </a:defRPr>
            </a:pPr>
            <a:endParaRPr lang="en-US"/>
          </a:p>
        </c:txPr>
        <c:crossAx val="1307720303"/>
        <c:crosses val="autoZero"/>
        <c:auto val="1"/>
        <c:lblAlgn val="ctr"/>
        <c:lblOffset val="100"/>
        <c:noMultiLvlLbl val="0"/>
      </c:catAx>
      <c:valAx>
        <c:axId val="1307720303"/>
        <c:scaling>
          <c:orientation val="minMax"/>
        </c:scaling>
        <c:delete val="1"/>
        <c:axPos val="b"/>
        <c:numFmt formatCode="General" sourceLinked="1"/>
        <c:majorTickMark val="none"/>
        <c:minorTickMark val="none"/>
        <c:tickLblPos val="nextTo"/>
        <c:crossAx val="130772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11.xlsx]Sheet2!PivotTable9</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rgbClr val="EEEEEE"/>
                </a:solidFill>
              </a:rPr>
              <a:t>Total</a:t>
            </a:r>
            <a:r>
              <a:rPr lang="en-US" sz="1600" b="1" baseline="0">
                <a:solidFill>
                  <a:srgbClr val="EEEEEE"/>
                </a:solidFill>
              </a:rPr>
              <a:t> Shipping Cost By Type Of Goods</a:t>
            </a:r>
            <a:endParaRPr lang="en-US" sz="1600" b="1">
              <a:solidFill>
                <a:srgbClr val="EEEEEE"/>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EEE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EE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Sheet2!$E$19</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EEEEE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Sheet2!$D$20:$D$23</c:f>
              <c:strCache>
                <c:ptCount val="3"/>
                <c:pt idx="0">
                  <c:v>Document</c:v>
                </c:pt>
                <c:pt idx="1">
                  <c:v>breakable</c:v>
                </c:pt>
                <c:pt idx="2">
                  <c:v>Unbreakable</c:v>
                </c:pt>
              </c:strCache>
            </c:strRef>
          </c:cat>
          <c:val>
            <c:numRef>
              <c:f>Sheet2!$E$20:$E$23</c:f>
              <c:numCache>
                <c:formatCode>_-"$"* #,##0_-;\-"$"* #,##0_-;_-"$"* "-"??_-;_-@_-</c:formatCode>
                <c:ptCount val="3"/>
                <c:pt idx="0">
                  <c:v>465</c:v>
                </c:pt>
                <c:pt idx="1">
                  <c:v>886</c:v>
                </c:pt>
                <c:pt idx="2">
                  <c:v>1164</c:v>
                </c:pt>
              </c:numCache>
            </c:numRef>
          </c:val>
          <c:extLst>
            <c:ext xmlns:c16="http://schemas.microsoft.com/office/drawing/2014/chart" uri="{C3380CC4-5D6E-409C-BE32-E72D297353CC}">
              <c16:uniqueId val="{00000000-5238-4CBD-8CF6-A927DD30E843}"/>
            </c:ext>
          </c:extLst>
        </c:ser>
        <c:dLbls>
          <c:dLblPos val="outEnd"/>
          <c:showLegendKey val="0"/>
          <c:showVal val="1"/>
          <c:showCatName val="0"/>
          <c:showSerName val="0"/>
          <c:showPercent val="0"/>
          <c:showBubbleSize val="0"/>
        </c:dLbls>
        <c:gapWidth val="219"/>
        <c:axId val="1289601647"/>
        <c:axId val="1289600207"/>
      </c:barChart>
      <c:catAx>
        <c:axId val="1289601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EEEEEE"/>
                </a:solidFill>
                <a:latin typeface="+mn-lt"/>
                <a:ea typeface="+mn-ea"/>
                <a:cs typeface="+mn-cs"/>
              </a:defRPr>
            </a:pPr>
            <a:endParaRPr lang="en-US"/>
          </a:p>
        </c:txPr>
        <c:crossAx val="1289600207"/>
        <c:crosses val="autoZero"/>
        <c:auto val="1"/>
        <c:lblAlgn val="ctr"/>
        <c:lblOffset val="100"/>
        <c:noMultiLvlLbl val="0"/>
      </c:catAx>
      <c:valAx>
        <c:axId val="1289600207"/>
        <c:scaling>
          <c:orientation val="minMax"/>
        </c:scaling>
        <c:delete val="1"/>
        <c:axPos val="b"/>
        <c:numFmt formatCode="_-&quot;$&quot;* #,##0_-;\-&quot;$&quot;* #,##0_-;_-&quot;$&quot;* &quot;-&quot;??_-;_-@_-" sourceLinked="1"/>
        <c:majorTickMark val="none"/>
        <c:minorTickMark val="none"/>
        <c:tickLblPos val="nextTo"/>
        <c:crossAx val="128960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11.xlsx]Sheet2!PivotTable10</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a:solidFill>
                  <a:schemeClr val="bg1"/>
                </a:solidFill>
              </a:rPr>
              <a:t>Distribution Of Orders By Address </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1">
              <a:lumMod val="65000"/>
            </a:schemeClr>
          </a:solidFill>
          <a:ln w="19050">
            <a:solidFill>
              <a:schemeClr val="lt1"/>
            </a:solidFill>
          </a:ln>
          <a:effectLst/>
        </c:spPr>
        <c:dLbl>
          <c:idx val="0"/>
          <c:layout>
            <c:manualLayout>
              <c:x val="-5.7780621172353455E-2"/>
              <c:y val="5.4558180227471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AF2655"/>
          </a:solidFill>
          <a:ln w="19050">
            <a:solidFill>
              <a:schemeClr val="lt1"/>
            </a:solidFill>
          </a:ln>
          <a:effectLst/>
        </c:spPr>
        <c:dLbl>
          <c:idx val="0"/>
          <c:layout>
            <c:manualLayout>
              <c:x val="4.8791994750656167E-2"/>
              <c:y val="-4.947506561679790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8D0B41"/>
          </a:solidFill>
          <a:ln w="19050">
            <a:solidFill>
              <a:schemeClr val="lt1"/>
            </a:solidFill>
          </a:ln>
          <a:effectLst/>
        </c:spPr>
        <c:dLbl>
          <c:idx val="0"/>
          <c:layout>
            <c:manualLayout>
              <c:x val="6.5085192475940509E-2"/>
              <c:y val="-8.66251093613298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bg1">
              <a:lumMod val="75000"/>
            </a:schemeClr>
          </a:solidFill>
          <a:ln w="19050">
            <a:solidFill>
              <a:schemeClr val="lt1"/>
            </a:solidFill>
          </a:ln>
          <a:effectLst/>
        </c:spPr>
        <c:dLbl>
          <c:idx val="0"/>
          <c:layout>
            <c:manualLayout>
              <c:x val="9.9926727909011373E-2"/>
              <c:y val="-2.294655876348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1"/>
          </a:solidFill>
          <a:ln w="19050">
            <a:solidFill>
              <a:schemeClr val="lt1"/>
            </a:solidFill>
          </a:ln>
          <a:effectLst/>
        </c:spPr>
        <c:dLbl>
          <c:idx val="0"/>
          <c:layout>
            <c:manualLayout>
              <c:x val="0.11451837270341207"/>
              <c:y val="5.8471857684456107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1">
              <a:lumMod val="65000"/>
            </a:schemeClr>
          </a:solidFill>
          <a:ln w="19050">
            <a:solidFill>
              <a:schemeClr val="lt1"/>
            </a:solidFill>
          </a:ln>
          <a:effectLst/>
        </c:spPr>
        <c:dLbl>
          <c:idx val="0"/>
          <c:layout>
            <c:manualLayout>
              <c:x val="-5.7780621172353455E-2"/>
              <c:y val="5.4558180227471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8D0B41"/>
          </a:solidFill>
          <a:ln w="19050">
            <a:solidFill>
              <a:schemeClr val="lt1"/>
            </a:solidFill>
          </a:ln>
          <a:effectLst/>
        </c:spPr>
        <c:dLbl>
          <c:idx val="0"/>
          <c:layout>
            <c:manualLayout>
              <c:x val="6.5085192475940509E-2"/>
              <c:y val="-8.662510936132983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AF2655"/>
          </a:solidFill>
          <a:ln w="19050">
            <a:solidFill>
              <a:schemeClr val="lt1"/>
            </a:solidFill>
          </a:ln>
          <a:effectLst/>
        </c:spPr>
        <c:dLbl>
          <c:idx val="0"/>
          <c:layout>
            <c:manualLayout>
              <c:x val="4.8791994750656167E-2"/>
              <c:y val="-4.947506561679790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bg1">
              <a:lumMod val="75000"/>
            </a:schemeClr>
          </a:solidFill>
          <a:ln w="19050">
            <a:solidFill>
              <a:schemeClr val="lt1"/>
            </a:solidFill>
          </a:ln>
          <a:effectLst/>
        </c:spPr>
        <c:dLbl>
          <c:idx val="0"/>
          <c:layout>
            <c:manualLayout>
              <c:x val="9.9926727909011373E-2"/>
              <c:y val="-2.29465587634878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bg1"/>
          </a:solidFill>
          <a:ln w="19050">
            <a:solidFill>
              <a:schemeClr val="lt1"/>
            </a:solidFill>
          </a:ln>
          <a:effectLst/>
        </c:spPr>
        <c:dLbl>
          <c:idx val="0"/>
          <c:layout>
            <c:manualLayout>
              <c:x val="0.11451837270341207"/>
              <c:y val="5.8471857684456107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bg1">
              <a:lumMod val="65000"/>
            </a:schemeClr>
          </a:solidFill>
          <a:ln w="19050">
            <a:solidFill>
              <a:schemeClr val="lt1"/>
            </a:solidFill>
          </a:ln>
          <a:effectLst/>
        </c:spPr>
        <c:dLbl>
          <c:idx val="0"/>
          <c:layout>
            <c:manualLayout>
              <c:x val="-5.7780621172353455E-2"/>
              <c:y val="5.4558180227471567E-2"/>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8D0B41"/>
          </a:solidFill>
          <a:ln w="19050">
            <a:solidFill>
              <a:schemeClr val="lt1"/>
            </a:solidFill>
          </a:ln>
          <a:effectLst/>
        </c:spPr>
        <c:dLbl>
          <c:idx val="0"/>
          <c:layout>
            <c:manualLayout>
              <c:x val="6.5085192475940509E-2"/>
              <c:y val="-8.6625109361329836E-3"/>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AF2655"/>
          </a:solidFill>
          <a:ln w="19050">
            <a:solidFill>
              <a:schemeClr val="lt1"/>
            </a:solidFill>
          </a:ln>
          <a:effectLst/>
        </c:spPr>
        <c:dLbl>
          <c:idx val="0"/>
          <c:layout>
            <c:manualLayout>
              <c:x val="5.5308944922998211E-2"/>
              <c:y val="-5.9874756178738435E-2"/>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bg1">
              <a:lumMod val="75000"/>
            </a:schemeClr>
          </a:solidFill>
          <a:ln w="19050">
            <a:solidFill>
              <a:schemeClr val="lt1"/>
            </a:solidFill>
          </a:ln>
          <a:effectLst/>
        </c:spPr>
        <c:dLbl>
          <c:idx val="0"/>
          <c:layout>
            <c:manualLayout>
              <c:x val="9.0151217175491918E-2"/>
              <c:y val="-4.7913408999673265E-2"/>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dLbl>
          <c:idx val="0"/>
          <c:layout>
            <c:manualLayout>
              <c:x val="0.11451837270341207"/>
              <c:y val="5.8471857684456107E-4"/>
            </c:manualLayout>
          </c:layout>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Sheet2!$H$19</c:f>
              <c:strCache>
                <c:ptCount val="1"/>
                <c:pt idx="0">
                  <c:v>Total</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AD53-43BA-BFDF-7479A0E4C20F}"/>
              </c:ext>
            </c:extLst>
          </c:dPt>
          <c:dPt>
            <c:idx val="1"/>
            <c:bubble3D val="0"/>
            <c:spPr>
              <a:solidFill>
                <a:srgbClr val="8D0B41"/>
              </a:solidFill>
              <a:ln w="19050">
                <a:solidFill>
                  <a:schemeClr val="lt1"/>
                </a:solidFill>
              </a:ln>
              <a:effectLst/>
            </c:spPr>
            <c:extLst>
              <c:ext xmlns:c16="http://schemas.microsoft.com/office/drawing/2014/chart" uri="{C3380CC4-5D6E-409C-BE32-E72D297353CC}">
                <c16:uniqueId val="{00000003-AD53-43BA-BFDF-7479A0E4C20F}"/>
              </c:ext>
            </c:extLst>
          </c:dPt>
          <c:dPt>
            <c:idx val="2"/>
            <c:bubble3D val="0"/>
            <c:spPr>
              <a:solidFill>
                <a:srgbClr val="AF2655"/>
              </a:solidFill>
              <a:ln w="19050">
                <a:solidFill>
                  <a:schemeClr val="lt1"/>
                </a:solidFill>
              </a:ln>
              <a:effectLst/>
            </c:spPr>
            <c:extLst>
              <c:ext xmlns:c16="http://schemas.microsoft.com/office/drawing/2014/chart" uri="{C3380CC4-5D6E-409C-BE32-E72D297353CC}">
                <c16:uniqueId val="{00000005-AD53-43BA-BFDF-7479A0E4C20F}"/>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AD53-43BA-BFDF-7479A0E4C20F}"/>
              </c:ext>
            </c:extLst>
          </c:dPt>
          <c:dPt>
            <c:idx val="4"/>
            <c:bubble3D val="0"/>
            <c:spPr>
              <a:solidFill>
                <a:schemeClr val="bg1"/>
              </a:solidFill>
              <a:ln w="19050">
                <a:solidFill>
                  <a:schemeClr val="lt1"/>
                </a:solidFill>
              </a:ln>
              <a:effectLst/>
            </c:spPr>
            <c:extLst>
              <c:ext xmlns:c16="http://schemas.microsoft.com/office/drawing/2014/chart" uri="{C3380CC4-5D6E-409C-BE32-E72D297353CC}">
                <c16:uniqueId val="{00000009-AD53-43BA-BFDF-7479A0E4C20F}"/>
              </c:ext>
            </c:extLst>
          </c:dPt>
          <c:dLbls>
            <c:dLbl>
              <c:idx val="0"/>
              <c:layout>
                <c:manualLayout>
                  <c:x val="-5.7780621172353455E-2"/>
                  <c:y val="5.45581802274715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D53-43BA-BFDF-7479A0E4C20F}"/>
                </c:ext>
              </c:extLst>
            </c:dLbl>
            <c:dLbl>
              <c:idx val="1"/>
              <c:layout>
                <c:manualLayout>
                  <c:x val="6.5085192475940509E-2"/>
                  <c:y val="-8.662510936132983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D53-43BA-BFDF-7479A0E4C20F}"/>
                </c:ext>
              </c:extLst>
            </c:dLbl>
            <c:dLbl>
              <c:idx val="2"/>
              <c:layout>
                <c:manualLayout>
                  <c:x val="5.5308944922998211E-2"/>
                  <c:y val="-5.98747561787384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D53-43BA-BFDF-7479A0E4C20F}"/>
                </c:ext>
              </c:extLst>
            </c:dLbl>
            <c:dLbl>
              <c:idx val="3"/>
              <c:layout>
                <c:manualLayout>
                  <c:x val="9.0151217175491918E-2"/>
                  <c:y val="-4.7913408999673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D53-43BA-BFDF-7479A0E4C20F}"/>
                </c:ext>
              </c:extLst>
            </c:dLbl>
            <c:dLbl>
              <c:idx val="4"/>
              <c:layout>
                <c:manualLayout>
                  <c:x val="0.11451837270341207"/>
                  <c:y val="5.8471857684456107E-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D53-43BA-BFDF-7479A0E4C20F}"/>
                </c:ext>
              </c:extLst>
            </c:dLbl>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Sheet2!$G$20:$G$25</c:f>
              <c:strCache>
                <c:ptCount val="5"/>
                <c:pt idx="0">
                  <c:v>Egypt</c:v>
                </c:pt>
                <c:pt idx="1">
                  <c:v>Greece</c:v>
                </c:pt>
                <c:pt idx="2">
                  <c:v>Germany</c:v>
                </c:pt>
                <c:pt idx="3">
                  <c:v>Turkey</c:v>
                </c:pt>
                <c:pt idx="4">
                  <c:v>France</c:v>
                </c:pt>
              </c:strCache>
            </c:strRef>
          </c:cat>
          <c:val>
            <c:numRef>
              <c:f>Sheet2!$H$20:$H$25</c:f>
              <c:numCache>
                <c:formatCode>General</c:formatCode>
                <c:ptCount val="5"/>
                <c:pt idx="0">
                  <c:v>38</c:v>
                </c:pt>
                <c:pt idx="1">
                  <c:v>5</c:v>
                </c:pt>
                <c:pt idx="2">
                  <c:v>5</c:v>
                </c:pt>
                <c:pt idx="3">
                  <c:v>3</c:v>
                </c:pt>
                <c:pt idx="4">
                  <c:v>3</c:v>
                </c:pt>
              </c:numCache>
            </c:numRef>
          </c:val>
          <c:extLst>
            <c:ext xmlns:c16="http://schemas.microsoft.com/office/drawing/2014/chart" uri="{C3380CC4-5D6E-409C-BE32-E72D297353CC}">
              <c16:uniqueId val="{0000000A-AD53-43BA-BFDF-7479A0E4C20F}"/>
            </c:ext>
          </c:extLst>
        </c:ser>
        <c:dLbls>
          <c:showLegendKey val="0"/>
          <c:showVal val="0"/>
          <c:showCatName val="0"/>
          <c:showSerName val="0"/>
          <c:showPercent val="0"/>
          <c:showBubbleSize val="0"/>
          <c:showLeaderLines val="1"/>
        </c:dLbls>
        <c:firstSliceAng val="147"/>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sz="24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11.xlsx]Sheet2!PivotTable11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effectLst/>
              </a:rPr>
              <a:t>Avg. Delivery Days By Shipping Method</a:t>
            </a:r>
            <a:r>
              <a:rPr lang="en-US" sz="1600" b="1" i="0" u="none" strike="noStrike" baseline="0">
                <a:solidFill>
                  <a:schemeClr val="bg1"/>
                </a:solidFill>
              </a:rPr>
              <a:t>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1">
              <a:lumMod val="65000"/>
            </a:schemeClr>
          </a:solidFill>
          <a:ln w="19050">
            <a:solidFill>
              <a:schemeClr val="lt1"/>
            </a:solidFill>
          </a:ln>
          <a:effectLst/>
        </c:spPr>
        <c:dLbl>
          <c:idx val="0"/>
          <c:layout>
            <c:manualLayout>
              <c:x val="-7.053149606299213E-3"/>
              <c:y val="1.645195392242636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AF2655"/>
          </a:solidFill>
          <a:ln w="19050">
            <a:solidFill>
              <a:schemeClr val="lt1"/>
            </a:solidFill>
          </a:ln>
          <a:effectLst/>
        </c:spPr>
        <c:dLbl>
          <c:idx val="0"/>
          <c:layout>
            <c:manualLayout>
              <c:x val="6.4205818022747163E-2"/>
              <c:y val="4.44892825896762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1"/>
          </a:solidFill>
          <a:ln w="19050">
            <a:solidFill>
              <a:schemeClr val="lt1"/>
            </a:solidFill>
          </a:ln>
          <a:effectLst/>
        </c:spPr>
        <c:dLbl>
          <c:idx val="0"/>
          <c:layout>
            <c:manualLayout>
              <c:x val="8.2985236220472436E-2"/>
              <c:y val="-1.60644502770487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bg1">
              <a:lumMod val="65000"/>
            </a:schemeClr>
          </a:solidFill>
          <a:ln w="19050">
            <a:solidFill>
              <a:schemeClr val="lt1"/>
            </a:solidFill>
          </a:ln>
          <a:effectLst/>
        </c:spPr>
        <c:dLbl>
          <c:idx val="0"/>
          <c:layout>
            <c:manualLayout>
              <c:x val="-7.053149606299213E-3"/>
              <c:y val="1.645195392242636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AF2655"/>
          </a:solidFill>
          <a:ln w="19050">
            <a:solidFill>
              <a:schemeClr val="lt1"/>
            </a:solidFill>
          </a:ln>
          <a:effectLst/>
        </c:spPr>
        <c:dLbl>
          <c:idx val="0"/>
          <c:layout>
            <c:manualLayout>
              <c:x val="6.4205818022747163E-2"/>
              <c:y val="4.44892825896762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dLbl>
          <c:idx val="0"/>
          <c:layout>
            <c:manualLayout>
              <c:x val="8.2985236220472436E-2"/>
              <c:y val="-1.60644502770487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chemeClr val="bg1">
              <a:lumMod val="65000"/>
            </a:schemeClr>
          </a:solidFill>
          <a:ln w="19050">
            <a:solidFill>
              <a:schemeClr val="lt1"/>
            </a:solidFill>
          </a:ln>
          <a:effectLst/>
        </c:spPr>
        <c:dLbl>
          <c:idx val="0"/>
          <c:layout>
            <c:manualLayout>
              <c:x val="-0.10501704887397947"/>
              <c:y val="-0.1499668225147959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8D0B41"/>
          </a:solidFill>
          <a:ln w="19050">
            <a:solidFill>
              <a:schemeClr val="lt1"/>
            </a:solidFill>
          </a:ln>
          <a:effectLst/>
        </c:spPr>
        <c:dLbl>
          <c:idx val="0"/>
          <c:layout>
            <c:manualLayout>
              <c:x val="6.4205818022747163E-2"/>
              <c:y val="4.448928258967625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bg1"/>
          </a:solidFill>
          <a:ln w="19050">
            <a:solidFill>
              <a:schemeClr val="lt1"/>
            </a:solidFill>
          </a:ln>
          <a:effectLst/>
        </c:spPr>
        <c:dLbl>
          <c:idx val="0"/>
          <c:layout>
            <c:manualLayout>
              <c:x val="8.2985236220472436E-2"/>
              <c:y val="-1.606445027704870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pieChart>
        <c:varyColors val="1"/>
        <c:ser>
          <c:idx val="0"/>
          <c:order val="0"/>
          <c:tx>
            <c:strRef>
              <c:f>Sheet2!$B$28</c:f>
              <c:strCache>
                <c:ptCount val="1"/>
                <c:pt idx="0">
                  <c:v>Total</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A0CB-4DA3-A42E-CAA1975229E4}"/>
              </c:ext>
            </c:extLst>
          </c:dPt>
          <c:dPt>
            <c:idx val="1"/>
            <c:bubble3D val="0"/>
            <c:spPr>
              <a:solidFill>
                <a:srgbClr val="8D0B41"/>
              </a:solidFill>
              <a:ln w="19050">
                <a:solidFill>
                  <a:schemeClr val="lt1"/>
                </a:solidFill>
              </a:ln>
              <a:effectLst/>
            </c:spPr>
            <c:extLst>
              <c:ext xmlns:c16="http://schemas.microsoft.com/office/drawing/2014/chart" uri="{C3380CC4-5D6E-409C-BE32-E72D297353CC}">
                <c16:uniqueId val="{00000003-A0CB-4DA3-A42E-CAA1975229E4}"/>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A0CB-4DA3-A42E-CAA1975229E4}"/>
              </c:ext>
            </c:extLst>
          </c:dPt>
          <c:dLbls>
            <c:dLbl>
              <c:idx val="0"/>
              <c:layout>
                <c:manualLayout>
                  <c:x val="-0.10501704887397947"/>
                  <c:y val="-0.1499668225147959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0CB-4DA3-A42E-CAA1975229E4}"/>
                </c:ext>
              </c:extLst>
            </c:dLbl>
            <c:dLbl>
              <c:idx val="1"/>
              <c:layout>
                <c:manualLayout>
                  <c:x val="6.4205818022747163E-2"/>
                  <c:y val="4.44892825896762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A0CB-4DA3-A42E-CAA1975229E4}"/>
                </c:ext>
              </c:extLst>
            </c:dLbl>
            <c:dLbl>
              <c:idx val="2"/>
              <c:layout>
                <c:manualLayout>
                  <c:x val="8.2985236220472436E-2"/>
                  <c:y val="-1.606445027704870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CB-4DA3-A42E-CAA1975229E4}"/>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Sheet2!$A$29:$A$32</c:f>
              <c:strCache>
                <c:ptCount val="3"/>
                <c:pt idx="0">
                  <c:v>Ocean</c:v>
                </c:pt>
                <c:pt idx="1">
                  <c:v>Road</c:v>
                </c:pt>
                <c:pt idx="2">
                  <c:v>Air</c:v>
                </c:pt>
              </c:strCache>
            </c:strRef>
          </c:cat>
          <c:val>
            <c:numRef>
              <c:f>Sheet2!$B$29:$B$32</c:f>
              <c:numCache>
                <c:formatCode>General</c:formatCode>
                <c:ptCount val="3"/>
                <c:pt idx="0">
                  <c:v>10</c:v>
                </c:pt>
                <c:pt idx="1">
                  <c:v>3</c:v>
                </c:pt>
                <c:pt idx="2">
                  <c:v>1</c:v>
                </c:pt>
              </c:numCache>
            </c:numRef>
          </c:val>
          <c:extLst>
            <c:ext xmlns:c16="http://schemas.microsoft.com/office/drawing/2014/chart" uri="{C3380CC4-5D6E-409C-BE32-E72D297353CC}">
              <c16:uniqueId val="{00000006-A0CB-4DA3-A42E-CAA1975229E4}"/>
            </c:ext>
          </c:extLst>
        </c:ser>
        <c:dLbls>
          <c:dLblPos val="bestFit"/>
          <c:showLegendKey val="0"/>
          <c:showVal val="1"/>
          <c:showCatName val="0"/>
          <c:showSerName val="0"/>
          <c:showPercent val="0"/>
          <c:showBubbleSize val="0"/>
          <c:showLeaderLines val="1"/>
        </c:dLbls>
        <c:firstSliceAng val="129"/>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11.xlsx]Sheet2!PivotTable12</c:name>
    <c:fmtId val="2"/>
  </c:pivotSource>
  <c:chart>
    <c:title>
      <c:tx>
        <c:rich>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r>
              <a:rPr lang="en-US" sz="1600" b="1" i="0" u="none" strike="noStrike" baseline="0">
                <a:solidFill>
                  <a:schemeClr val="bg1"/>
                </a:solidFill>
                <a:effectLst/>
              </a:rPr>
              <a:t>Total Shipping Cost By Expected Date ( Month )</a:t>
            </a:r>
            <a:r>
              <a:rPr lang="en-US" sz="1600" b="0" i="0" u="none" strike="noStrike" baseline="0">
                <a:solidFill>
                  <a:schemeClr val="bg1"/>
                </a:solidFill>
              </a:rPr>
              <a:t> </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4762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762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layout>
            <c:manualLayout>
              <c:x val="-0.10475100479612724"/>
              <c:y val="-6.25133357110921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4762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layout>
            <c:manualLayout>
              <c:x val="-6.3861504977911918E-2"/>
              <c:y val="8.538980686480454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layout>
            <c:manualLayout>
              <c:x val="-3.7735709981223886E-2"/>
              <c:y val="0.11133620691416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Sheet2!$E$28</c:f>
              <c:strCache>
                <c:ptCount val="1"/>
                <c:pt idx="0">
                  <c:v>Total</c:v>
                </c:pt>
              </c:strCache>
            </c:strRef>
          </c:tx>
          <c:spPr>
            <a:ln w="4762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Pt>
            <c:idx val="1"/>
            <c:marker>
              <c:symbol val="circle"/>
              <c:size val="5"/>
              <c:spPr>
                <a:solidFill>
                  <a:schemeClr val="bg1">
                    <a:lumMod val="65000"/>
                  </a:schemeClr>
                </a:solidFill>
                <a:ln w="9525">
                  <a:solidFill>
                    <a:schemeClr val="bg1">
                      <a:lumMod val="65000"/>
                    </a:schemeClr>
                  </a:solidFill>
                </a:ln>
                <a:effectLst/>
              </c:spPr>
            </c:marker>
            <c:bubble3D val="0"/>
            <c:spPr>
              <a:ln w="47625" cap="rnd">
                <a:solidFill>
                  <a:schemeClr val="bg1">
                    <a:lumMod val="65000"/>
                  </a:schemeClr>
                </a:solidFill>
                <a:round/>
              </a:ln>
              <a:effectLst/>
            </c:spPr>
            <c:extLst>
              <c:ext xmlns:c16="http://schemas.microsoft.com/office/drawing/2014/chart" uri="{C3380CC4-5D6E-409C-BE32-E72D297353CC}">
                <c16:uniqueId val="{00000001-CF62-44F3-B62E-86B837171773}"/>
              </c:ext>
            </c:extLst>
          </c:dPt>
          <c:dPt>
            <c:idx val="2"/>
            <c:marker>
              <c:symbol val="circle"/>
              <c:size val="5"/>
              <c:spPr>
                <a:solidFill>
                  <a:schemeClr val="bg1">
                    <a:lumMod val="65000"/>
                  </a:schemeClr>
                </a:solidFill>
                <a:ln w="9525">
                  <a:solidFill>
                    <a:schemeClr val="bg1">
                      <a:lumMod val="65000"/>
                    </a:schemeClr>
                  </a:solidFill>
                </a:ln>
                <a:effectLst/>
              </c:spPr>
            </c:marker>
            <c:bubble3D val="0"/>
            <c:extLst>
              <c:ext xmlns:c16="http://schemas.microsoft.com/office/drawing/2014/chart" uri="{C3380CC4-5D6E-409C-BE32-E72D297353CC}">
                <c16:uniqueId val="{00000003-6407-40D3-823F-0482FD1D9B1C}"/>
              </c:ext>
            </c:extLst>
          </c:dPt>
          <c:dPt>
            <c:idx val="3"/>
            <c:marker>
              <c:symbol val="circle"/>
              <c:size val="5"/>
              <c:spPr>
                <a:solidFill>
                  <a:schemeClr val="bg1">
                    <a:lumMod val="65000"/>
                  </a:schemeClr>
                </a:solidFill>
                <a:ln w="9525">
                  <a:solidFill>
                    <a:schemeClr val="bg1">
                      <a:lumMod val="65000"/>
                    </a:schemeClr>
                  </a:solidFill>
                </a:ln>
                <a:effectLst/>
              </c:spPr>
            </c:marker>
            <c:bubble3D val="0"/>
            <c:extLst>
              <c:ext xmlns:c16="http://schemas.microsoft.com/office/drawing/2014/chart" uri="{C3380CC4-5D6E-409C-BE32-E72D297353CC}">
                <c16:uniqueId val="{00000002-6407-40D3-823F-0482FD1D9B1C}"/>
              </c:ext>
            </c:extLst>
          </c:dPt>
          <c:dLbls>
            <c:dLbl>
              <c:idx val="1"/>
              <c:layout>
                <c:manualLayout>
                  <c:x val="-0.10475100479612724"/>
                  <c:y val="-6.2513335711092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62-44F3-B62E-86B837171773}"/>
                </c:ext>
              </c:extLst>
            </c:dLbl>
            <c:dLbl>
              <c:idx val="2"/>
              <c:layout>
                <c:manualLayout>
                  <c:x val="-3.7735709981223886E-2"/>
                  <c:y val="0.1113362069141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07-40D3-823F-0482FD1D9B1C}"/>
                </c:ext>
              </c:extLst>
            </c:dLbl>
            <c:dLbl>
              <c:idx val="3"/>
              <c:layout>
                <c:manualLayout>
                  <c:x val="-6.3861504977911918E-2"/>
                  <c:y val="8.5389806864804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07-40D3-823F-0482FD1D9B1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Sheet2!$D$29:$D$33</c:f>
              <c:strCache>
                <c:ptCount val="4"/>
                <c:pt idx="0">
                  <c:v>Jan</c:v>
                </c:pt>
                <c:pt idx="1">
                  <c:v>Oct</c:v>
                </c:pt>
                <c:pt idx="2">
                  <c:v>Nov</c:v>
                </c:pt>
                <c:pt idx="3">
                  <c:v>Dec</c:v>
                </c:pt>
              </c:strCache>
            </c:strRef>
          </c:cat>
          <c:val>
            <c:numRef>
              <c:f>Sheet2!$E$29:$E$33</c:f>
              <c:numCache>
                <c:formatCode>_-"$"* #,##0_-;\-"$"* #,##0_-;_-"$"* "-"??_-;_-@_-</c:formatCode>
                <c:ptCount val="4"/>
                <c:pt idx="0">
                  <c:v>421</c:v>
                </c:pt>
                <c:pt idx="1">
                  <c:v>318</c:v>
                </c:pt>
                <c:pt idx="2">
                  <c:v>914</c:v>
                </c:pt>
                <c:pt idx="3">
                  <c:v>862</c:v>
                </c:pt>
              </c:numCache>
            </c:numRef>
          </c:val>
          <c:smooth val="0"/>
          <c:extLst>
            <c:ext xmlns:c16="http://schemas.microsoft.com/office/drawing/2014/chart" uri="{C3380CC4-5D6E-409C-BE32-E72D297353CC}">
              <c16:uniqueId val="{00000000-CF62-44F3-B62E-86B837171773}"/>
            </c:ext>
          </c:extLst>
        </c:ser>
        <c:dLbls>
          <c:dLblPos val="t"/>
          <c:showLegendKey val="0"/>
          <c:showVal val="1"/>
          <c:showCatName val="0"/>
          <c:showSerName val="0"/>
          <c:showPercent val="0"/>
          <c:showBubbleSize val="0"/>
        </c:dLbls>
        <c:marker val="1"/>
        <c:smooth val="0"/>
        <c:axId val="1058002736"/>
        <c:axId val="1057999496"/>
      </c:lineChart>
      <c:catAx>
        <c:axId val="105800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057999496"/>
        <c:crosses val="autoZero"/>
        <c:auto val="1"/>
        <c:lblAlgn val="ctr"/>
        <c:lblOffset val="100"/>
        <c:noMultiLvlLbl val="0"/>
      </c:catAx>
      <c:valAx>
        <c:axId val="1057999496"/>
        <c:scaling>
          <c:orientation val="minMax"/>
        </c:scaling>
        <c:delete val="1"/>
        <c:axPos val="l"/>
        <c:numFmt formatCode="_-&quot;$&quot;* #,##0_-;\-&quot;$&quot;* #,##0_-;_-&quot;$&quot;* &quot;-&quot;??_-;_-@_-" sourceLinked="1"/>
        <c:majorTickMark val="none"/>
        <c:minorTickMark val="none"/>
        <c:tickLblPos val="nextTo"/>
        <c:crossAx val="105800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11.xlsx]Sheet2!PivotTable13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effectLst/>
              </a:rPr>
              <a:t>Avg. Delivery Days By Destination Country</a:t>
            </a:r>
            <a:r>
              <a:rPr lang="en-US" sz="1600" b="0" i="0" u="none" strike="noStrike" baseline="0">
                <a:solidFill>
                  <a:schemeClr val="bg1"/>
                </a:solidFill>
              </a:rPr>
              <a:t> </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Sheet2!$H$28</c:f>
              <c:strCache>
                <c:ptCount val="1"/>
                <c:pt idx="0">
                  <c:v>Total</c:v>
                </c:pt>
              </c:strCache>
            </c:strRef>
          </c:tx>
          <c:spPr>
            <a:ln w="28575"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Sheet2!$G$29:$G$38</c:f>
              <c:strCache>
                <c:ptCount val="9"/>
                <c:pt idx="0">
                  <c:v>Tunisia</c:v>
                </c:pt>
                <c:pt idx="1">
                  <c:v>US</c:v>
                </c:pt>
                <c:pt idx="2">
                  <c:v>Germany</c:v>
                </c:pt>
                <c:pt idx="3">
                  <c:v>Turkey</c:v>
                </c:pt>
                <c:pt idx="4">
                  <c:v>Greece</c:v>
                </c:pt>
                <c:pt idx="5">
                  <c:v>France</c:v>
                </c:pt>
                <c:pt idx="6">
                  <c:v>Egypt</c:v>
                </c:pt>
                <c:pt idx="7">
                  <c:v>Albania</c:v>
                </c:pt>
                <c:pt idx="8">
                  <c:v>Spain</c:v>
                </c:pt>
              </c:strCache>
            </c:strRef>
          </c:cat>
          <c:val>
            <c:numRef>
              <c:f>Sheet2!$H$29:$H$38</c:f>
              <c:numCache>
                <c:formatCode>0.00</c:formatCode>
                <c:ptCount val="9"/>
                <c:pt idx="0">
                  <c:v>10</c:v>
                </c:pt>
                <c:pt idx="1">
                  <c:v>7.9</c:v>
                </c:pt>
                <c:pt idx="2">
                  <c:v>7</c:v>
                </c:pt>
                <c:pt idx="3">
                  <c:v>3</c:v>
                </c:pt>
                <c:pt idx="4">
                  <c:v>3</c:v>
                </c:pt>
                <c:pt idx="5">
                  <c:v>2.8888888888888888</c:v>
                </c:pt>
                <c:pt idx="6">
                  <c:v>2.4285714285714284</c:v>
                </c:pt>
                <c:pt idx="7">
                  <c:v>2</c:v>
                </c:pt>
                <c:pt idx="8">
                  <c:v>1</c:v>
                </c:pt>
              </c:numCache>
            </c:numRef>
          </c:val>
          <c:smooth val="0"/>
          <c:extLst>
            <c:ext xmlns:c16="http://schemas.microsoft.com/office/drawing/2014/chart" uri="{C3380CC4-5D6E-409C-BE32-E72D297353CC}">
              <c16:uniqueId val="{00000000-9708-4B55-842A-BE580B8C2EC7}"/>
            </c:ext>
          </c:extLst>
        </c:ser>
        <c:dLbls>
          <c:dLblPos val="t"/>
          <c:showLegendKey val="0"/>
          <c:showVal val="1"/>
          <c:showCatName val="0"/>
          <c:showSerName val="0"/>
          <c:showPercent val="0"/>
          <c:showBubbleSize val="0"/>
        </c:dLbls>
        <c:marker val="1"/>
        <c:smooth val="0"/>
        <c:axId val="1141637864"/>
        <c:axId val="1141637504"/>
      </c:lineChart>
      <c:catAx>
        <c:axId val="1141637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41637504"/>
        <c:crosses val="autoZero"/>
        <c:auto val="1"/>
        <c:lblAlgn val="ctr"/>
        <c:lblOffset val="100"/>
        <c:noMultiLvlLbl val="0"/>
      </c:catAx>
      <c:valAx>
        <c:axId val="1141637504"/>
        <c:scaling>
          <c:orientation val="minMax"/>
        </c:scaling>
        <c:delete val="1"/>
        <c:axPos val="l"/>
        <c:numFmt formatCode="0.00" sourceLinked="1"/>
        <c:majorTickMark val="none"/>
        <c:minorTickMark val="none"/>
        <c:tickLblPos val="nextTo"/>
        <c:crossAx val="1141637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11.xlsx]Sheet2!PivotTable14</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effectLst/>
              </a:rPr>
              <a:t>Number Of Orders By Origin Country</a:t>
            </a:r>
            <a:r>
              <a:rPr lang="en-US" sz="1600" b="0" i="0" u="none" strike="noStrike" baseline="0">
                <a:solidFill>
                  <a:schemeClr val="bg1"/>
                </a:solidFill>
              </a:rPr>
              <a:t> </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Sheet2!$B$36</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Sheet2!$A$37:$A$44</c:f>
              <c:strCache>
                <c:ptCount val="7"/>
                <c:pt idx="0">
                  <c:v>Egypt</c:v>
                </c:pt>
                <c:pt idx="1">
                  <c:v>Greece</c:v>
                </c:pt>
                <c:pt idx="2">
                  <c:v>Germany</c:v>
                </c:pt>
                <c:pt idx="3">
                  <c:v>Turkey</c:v>
                </c:pt>
                <c:pt idx="4">
                  <c:v>France</c:v>
                </c:pt>
                <c:pt idx="5">
                  <c:v>US</c:v>
                </c:pt>
                <c:pt idx="6">
                  <c:v>Tunisia</c:v>
                </c:pt>
              </c:strCache>
            </c:strRef>
          </c:cat>
          <c:val>
            <c:numRef>
              <c:f>Sheet2!$B$37:$B$44</c:f>
              <c:numCache>
                <c:formatCode>General</c:formatCode>
                <c:ptCount val="7"/>
                <c:pt idx="0">
                  <c:v>19</c:v>
                </c:pt>
                <c:pt idx="1">
                  <c:v>10</c:v>
                </c:pt>
                <c:pt idx="2">
                  <c:v>8</c:v>
                </c:pt>
                <c:pt idx="3">
                  <c:v>8</c:v>
                </c:pt>
                <c:pt idx="4">
                  <c:v>4</c:v>
                </c:pt>
                <c:pt idx="5">
                  <c:v>3</c:v>
                </c:pt>
                <c:pt idx="6">
                  <c:v>2</c:v>
                </c:pt>
              </c:numCache>
            </c:numRef>
          </c:val>
          <c:extLst>
            <c:ext xmlns:c16="http://schemas.microsoft.com/office/drawing/2014/chart" uri="{C3380CC4-5D6E-409C-BE32-E72D297353CC}">
              <c16:uniqueId val="{00000000-A01B-4809-810D-03DEF4EC8235}"/>
            </c:ext>
          </c:extLst>
        </c:ser>
        <c:dLbls>
          <c:dLblPos val="outEnd"/>
          <c:showLegendKey val="0"/>
          <c:showVal val="1"/>
          <c:showCatName val="0"/>
          <c:showSerName val="0"/>
          <c:showPercent val="0"/>
          <c:showBubbleSize val="0"/>
        </c:dLbls>
        <c:gapWidth val="219"/>
        <c:overlap val="-27"/>
        <c:axId val="217487280"/>
        <c:axId val="218980176"/>
      </c:barChart>
      <c:catAx>
        <c:axId val="21748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218980176"/>
        <c:crosses val="autoZero"/>
        <c:auto val="1"/>
        <c:lblAlgn val="ctr"/>
        <c:lblOffset val="100"/>
        <c:noMultiLvlLbl val="0"/>
      </c:catAx>
      <c:valAx>
        <c:axId val="218980176"/>
        <c:scaling>
          <c:orientation val="minMax"/>
        </c:scaling>
        <c:delete val="1"/>
        <c:axPos val="l"/>
        <c:numFmt formatCode="General" sourceLinked="1"/>
        <c:majorTickMark val="none"/>
        <c:minorTickMark val="none"/>
        <c:tickLblPos val="nextTo"/>
        <c:crossAx val="21748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[Abanoub Magdy 11.xlsx]Sheet2!PivotTable4</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bg1"/>
                </a:solidFill>
                <a:effectLst/>
              </a:rPr>
              <a:t>Total Weight By Shipping Method</a:t>
            </a:r>
            <a:r>
              <a:rPr lang="en-US" sz="1600" b="0" i="0" u="none" strike="noStrike" baseline="0">
                <a:solidFill>
                  <a:schemeClr val="bg1"/>
                </a:solidFill>
              </a:rPr>
              <a:t> </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Sheet2!$B$48</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Sheet2!$A$49:$A$52</c:f>
              <c:strCache>
                <c:ptCount val="3"/>
                <c:pt idx="0">
                  <c:v>Road</c:v>
                </c:pt>
                <c:pt idx="1">
                  <c:v>Ocean</c:v>
                </c:pt>
                <c:pt idx="2">
                  <c:v>Air</c:v>
                </c:pt>
              </c:strCache>
            </c:strRef>
          </c:cat>
          <c:val>
            <c:numRef>
              <c:f>Sheet2!$B$49:$B$52</c:f>
              <c:numCache>
                <c:formatCode>0\ "Kg"</c:formatCode>
                <c:ptCount val="3"/>
                <c:pt idx="0">
                  <c:v>299</c:v>
                </c:pt>
                <c:pt idx="1">
                  <c:v>217</c:v>
                </c:pt>
                <c:pt idx="2">
                  <c:v>106</c:v>
                </c:pt>
              </c:numCache>
            </c:numRef>
          </c:val>
          <c:extLst>
            <c:ext xmlns:c16="http://schemas.microsoft.com/office/drawing/2014/chart" uri="{C3380CC4-5D6E-409C-BE32-E72D297353CC}">
              <c16:uniqueId val="{00000000-C980-4FEA-B2C9-78C7A310B9F1}"/>
            </c:ext>
          </c:extLst>
        </c:ser>
        <c:dLbls>
          <c:dLblPos val="outEnd"/>
          <c:showLegendKey val="0"/>
          <c:showVal val="1"/>
          <c:showCatName val="0"/>
          <c:showSerName val="0"/>
          <c:showPercent val="0"/>
          <c:showBubbleSize val="0"/>
        </c:dLbls>
        <c:gapWidth val="219"/>
        <c:overlap val="-27"/>
        <c:axId val="1047711808"/>
        <c:axId val="1047711328"/>
      </c:barChart>
      <c:catAx>
        <c:axId val="104771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047711328"/>
        <c:crosses val="autoZero"/>
        <c:auto val="1"/>
        <c:lblAlgn val="ctr"/>
        <c:lblOffset val="100"/>
        <c:noMultiLvlLbl val="0"/>
      </c:catAx>
      <c:valAx>
        <c:axId val="1047711328"/>
        <c:scaling>
          <c:orientation val="minMax"/>
        </c:scaling>
        <c:delete val="1"/>
        <c:axPos val="l"/>
        <c:numFmt formatCode="0\ &quot;Kg&quot;" sourceLinked="1"/>
        <c:majorTickMark val="none"/>
        <c:minorTickMark val="none"/>
        <c:tickLblPos val="nextTo"/>
        <c:crossAx val="1047711808"/>
        <c:crosses val="autoZero"/>
        <c:crossBetween val="between"/>
      </c:valAx>
      <c:spPr>
        <a:noFill/>
        <a:ln>
          <a:solidFill>
            <a:srgbClr val="8D0B4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D0B41"/>
    </a:solidFill>
    <a:ln w="9525" cap="flat" cmpd="sng" algn="ctr">
      <a:solidFill>
        <a:srgbClr val="8D0B4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0.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1356361</xdr:colOff>
      <xdr:row>0</xdr:row>
      <xdr:rowOff>0</xdr:rowOff>
    </xdr:from>
    <xdr:to>
      <xdr:col>2</xdr:col>
      <xdr:colOff>746760</xdr:colOff>
      <xdr:row>4</xdr:row>
      <xdr:rowOff>152400</xdr:rowOff>
    </xdr:to>
    <xdr:pic>
      <xdr:nvPicPr>
        <xdr:cNvPr id="4" name="Picture 3">
          <a:extLst>
            <a:ext uri="{FF2B5EF4-FFF2-40B4-BE49-F238E27FC236}">
              <a16:creationId xmlns:a16="http://schemas.microsoft.com/office/drawing/2014/main" id="{5CA75FBE-5739-46D9-5B11-B230B13C1F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5081" y="0"/>
          <a:ext cx="830579" cy="883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15875</xdr:colOff>
      <xdr:row>55</xdr:row>
      <xdr:rowOff>46464</xdr:rowOff>
    </xdr:to>
    <xdr:sp macro="" textlink="">
      <xdr:nvSpPr>
        <xdr:cNvPr id="2" name="Rectangle 1">
          <a:extLst>
            <a:ext uri="{FF2B5EF4-FFF2-40B4-BE49-F238E27FC236}">
              <a16:creationId xmlns:a16="http://schemas.microsoft.com/office/drawing/2014/main" id="{AAE0F448-5D48-C10C-6ADE-46734B4BF19B}"/>
            </a:ext>
          </a:extLst>
        </xdr:cNvPr>
        <xdr:cNvSpPr/>
      </xdr:nvSpPr>
      <xdr:spPr>
        <a:xfrm>
          <a:off x="0" y="0"/>
          <a:ext cx="20132675" cy="10362772"/>
        </a:xfrm>
        <a:prstGeom prst="rect">
          <a:avLst/>
        </a:prstGeom>
        <a:solidFill>
          <a:srgbClr val="8D0B41"/>
        </a:solidFill>
        <a:ln>
          <a:solidFill>
            <a:srgbClr val="8D0B4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a:t>
          </a:r>
        </a:p>
      </xdr:txBody>
    </xdr:sp>
    <xdr:clientData/>
  </xdr:twoCellAnchor>
  <xdr:twoCellAnchor>
    <xdr:from>
      <xdr:col>11</xdr:col>
      <xdr:colOff>433697</xdr:colOff>
      <xdr:row>0</xdr:row>
      <xdr:rowOff>86450</xdr:rowOff>
    </xdr:from>
    <xdr:to>
      <xdr:col>16</xdr:col>
      <xdr:colOff>111860</xdr:colOff>
      <xdr:row>3</xdr:row>
      <xdr:rowOff>196809</xdr:rowOff>
    </xdr:to>
    <xdr:grpSp>
      <xdr:nvGrpSpPr>
        <xdr:cNvPr id="34" name="Group 33">
          <a:extLst>
            <a:ext uri="{FF2B5EF4-FFF2-40B4-BE49-F238E27FC236}">
              <a16:creationId xmlns:a16="http://schemas.microsoft.com/office/drawing/2014/main" id="{B9A0361C-ABC7-538D-444C-5F1B54B36F0C}"/>
            </a:ext>
          </a:extLst>
        </xdr:cNvPr>
        <xdr:cNvGrpSpPr/>
      </xdr:nvGrpSpPr>
      <xdr:grpSpPr>
        <a:xfrm>
          <a:off x="7210633" y="86450"/>
          <a:ext cx="2758589" cy="630140"/>
          <a:chOff x="4401076" y="104774"/>
          <a:chExt cx="1860294" cy="694964"/>
        </a:xfrm>
      </xdr:grpSpPr>
      <xdr:sp macro="" textlink="">
        <xdr:nvSpPr>
          <xdr:cNvPr id="5" name="Rectangle: Rounded Corners 4">
            <a:extLst>
              <a:ext uri="{FF2B5EF4-FFF2-40B4-BE49-F238E27FC236}">
                <a16:creationId xmlns:a16="http://schemas.microsoft.com/office/drawing/2014/main" id="{6C0AE9DC-ABE3-4D0C-ADF7-BCA1EC517A64}"/>
              </a:ext>
            </a:extLst>
          </xdr:cNvPr>
          <xdr:cNvSpPr/>
        </xdr:nvSpPr>
        <xdr:spPr>
          <a:xfrm>
            <a:off x="4401076" y="104774"/>
            <a:ext cx="1860294" cy="694964"/>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sp macro="" textlink="">
        <xdr:nvSpPr>
          <xdr:cNvPr id="10" name="TextBox 9">
            <a:extLst>
              <a:ext uri="{FF2B5EF4-FFF2-40B4-BE49-F238E27FC236}">
                <a16:creationId xmlns:a16="http://schemas.microsoft.com/office/drawing/2014/main" id="{93DF08B1-46A9-F418-EBF8-90A82B038C46}"/>
              </a:ext>
            </a:extLst>
          </xdr:cNvPr>
          <xdr:cNvSpPr txBox="1"/>
        </xdr:nvSpPr>
        <xdr:spPr>
          <a:xfrm>
            <a:off x="4448293" y="163871"/>
            <a:ext cx="1771803" cy="274354"/>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EEEE"/>
                </a:solidFill>
              </a:rPr>
              <a:t>Total Orders</a:t>
            </a:r>
          </a:p>
        </xdr:txBody>
      </xdr:sp>
      <xdr:sp macro="" textlink="Sheet2!A15">
        <xdr:nvSpPr>
          <xdr:cNvPr id="11" name="TextBox 10">
            <a:extLst>
              <a:ext uri="{FF2B5EF4-FFF2-40B4-BE49-F238E27FC236}">
                <a16:creationId xmlns:a16="http://schemas.microsoft.com/office/drawing/2014/main" id="{A888F0D8-6810-6284-B9FA-DBFAA2EC3F95}"/>
              </a:ext>
            </a:extLst>
          </xdr:cNvPr>
          <xdr:cNvSpPr txBox="1"/>
        </xdr:nvSpPr>
        <xdr:spPr>
          <a:xfrm>
            <a:off x="4458535" y="468951"/>
            <a:ext cx="1761562" cy="265201"/>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00B174-5DFF-43F1-8D75-BA27E14CBF54}" type="TxLink">
              <a:rPr lang="en-US" sz="1800" b="1" i="0" u="none" strike="noStrike">
                <a:solidFill>
                  <a:srgbClr val="EEEEEE"/>
                </a:solidFill>
                <a:latin typeface="Aptos Narrow"/>
              </a:rPr>
              <a:pPr algn="ctr"/>
              <a:t>54</a:t>
            </a:fld>
            <a:endParaRPr lang="en-US" sz="1800" b="1">
              <a:solidFill>
                <a:srgbClr val="EEEEEE"/>
              </a:solidFill>
            </a:endParaRPr>
          </a:p>
        </xdr:txBody>
      </xdr:sp>
    </xdr:grpSp>
    <xdr:clientData/>
  </xdr:twoCellAnchor>
  <xdr:twoCellAnchor>
    <xdr:from>
      <xdr:col>20</xdr:col>
      <xdr:colOff>28181</xdr:colOff>
      <xdr:row>0</xdr:row>
      <xdr:rowOff>86450</xdr:rowOff>
    </xdr:from>
    <xdr:to>
      <xdr:col>24</xdr:col>
      <xdr:colOff>321805</xdr:colOff>
      <xdr:row>4</xdr:row>
      <xdr:rowOff>10250</xdr:rowOff>
    </xdr:to>
    <xdr:grpSp>
      <xdr:nvGrpSpPr>
        <xdr:cNvPr id="32" name="Group 31">
          <a:extLst>
            <a:ext uri="{FF2B5EF4-FFF2-40B4-BE49-F238E27FC236}">
              <a16:creationId xmlns:a16="http://schemas.microsoft.com/office/drawing/2014/main" id="{8832478E-EC00-DF61-27A1-D9C74BAB4577}"/>
            </a:ext>
          </a:extLst>
        </xdr:cNvPr>
        <xdr:cNvGrpSpPr/>
      </xdr:nvGrpSpPr>
      <xdr:grpSpPr>
        <a:xfrm>
          <a:off x="12349883" y="86450"/>
          <a:ext cx="2757965" cy="637162"/>
          <a:chOff x="14441424" y="135027"/>
          <a:chExt cx="1854358" cy="704363"/>
        </a:xfrm>
      </xdr:grpSpPr>
      <xdr:sp macro="" textlink="">
        <xdr:nvSpPr>
          <xdr:cNvPr id="6" name="Rectangle: Rounded Corners 5">
            <a:extLst>
              <a:ext uri="{FF2B5EF4-FFF2-40B4-BE49-F238E27FC236}">
                <a16:creationId xmlns:a16="http://schemas.microsoft.com/office/drawing/2014/main" id="{2794701B-E8C1-458A-B7D0-5E7CE76CD070}"/>
              </a:ext>
            </a:extLst>
          </xdr:cNvPr>
          <xdr:cNvSpPr/>
        </xdr:nvSpPr>
        <xdr:spPr>
          <a:xfrm>
            <a:off x="14441424" y="135027"/>
            <a:ext cx="1854358" cy="704363"/>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sp macro="" textlink="">
        <xdr:nvSpPr>
          <xdr:cNvPr id="12" name="TextBox 11">
            <a:extLst>
              <a:ext uri="{FF2B5EF4-FFF2-40B4-BE49-F238E27FC236}">
                <a16:creationId xmlns:a16="http://schemas.microsoft.com/office/drawing/2014/main" id="{29ED1BBF-2985-1511-8302-2005C0CAA029}"/>
              </a:ext>
            </a:extLst>
          </xdr:cNvPr>
          <xdr:cNvSpPr txBox="1"/>
        </xdr:nvSpPr>
        <xdr:spPr>
          <a:xfrm>
            <a:off x="14473430" y="194124"/>
            <a:ext cx="1786352" cy="309779"/>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EEEE"/>
                </a:solidFill>
              </a:rPr>
              <a:t>Total Shipping Cost</a:t>
            </a:r>
          </a:p>
        </xdr:txBody>
      </xdr:sp>
      <xdr:sp macro="" textlink="Sheet2!B15">
        <xdr:nvSpPr>
          <xdr:cNvPr id="13" name="TextBox 12">
            <a:extLst>
              <a:ext uri="{FF2B5EF4-FFF2-40B4-BE49-F238E27FC236}">
                <a16:creationId xmlns:a16="http://schemas.microsoft.com/office/drawing/2014/main" id="{10BEF644-7306-45BE-6440-4ABD12C12209}"/>
              </a:ext>
            </a:extLst>
          </xdr:cNvPr>
          <xdr:cNvSpPr txBox="1"/>
        </xdr:nvSpPr>
        <xdr:spPr>
          <a:xfrm>
            <a:off x="14504156" y="534629"/>
            <a:ext cx="1724900" cy="248328"/>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111965-5A30-4739-9161-DAB604429B98}" type="TxLink">
              <a:rPr lang="en-US" sz="1800" b="1" i="0" u="none" strike="noStrike">
                <a:solidFill>
                  <a:srgbClr val="EEEEEE"/>
                </a:solidFill>
                <a:latin typeface="Aptos Narrow"/>
              </a:rPr>
              <a:pPr algn="ctr"/>
              <a:t> $2,515 </a:t>
            </a:fld>
            <a:endParaRPr lang="en-US" sz="1800" b="1">
              <a:solidFill>
                <a:srgbClr val="EEEEEE"/>
              </a:solidFill>
            </a:endParaRPr>
          </a:p>
        </xdr:txBody>
      </xdr:sp>
    </xdr:grpSp>
    <xdr:clientData/>
  </xdr:twoCellAnchor>
  <xdr:twoCellAnchor>
    <xdr:from>
      <xdr:col>28</xdr:col>
      <xdr:colOff>238126</xdr:colOff>
      <xdr:row>0</xdr:row>
      <xdr:rowOff>86450</xdr:rowOff>
    </xdr:from>
    <xdr:to>
      <xdr:col>32</xdr:col>
      <xdr:colOff>531750</xdr:colOff>
      <xdr:row>4</xdr:row>
      <xdr:rowOff>10250</xdr:rowOff>
    </xdr:to>
    <xdr:grpSp>
      <xdr:nvGrpSpPr>
        <xdr:cNvPr id="30" name="Group 29">
          <a:extLst>
            <a:ext uri="{FF2B5EF4-FFF2-40B4-BE49-F238E27FC236}">
              <a16:creationId xmlns:a16="http://schemas.microsoft.com/office/drawing/2014/main" id="{A73CD630-7ECC-41E9-7835-94C29E36E63E}"/>
            </a:ext>
          </a:extLst>
        </xdr:cNvPr>
        <xdr:cNvGrpSpPr/>
      </xdr:nvGrpSpPr>
      <xdr:grpSpPr>
        <a:xfrm>
          <a:off x="17488509" y="86450"/>
          <a:ext cx="2757964" cy="637162"/>
          <a:chOff x="22104365" y="232247"/>
          <a:chExt cx="1854357" cy="704363"/>
        </a:xfrm>
      </xdr:grpSpPr>
      <xdr:sp macro="" textlink="">
        <xdr:nvSpPr>
          <xdr:cNvPr id="8" name="Rectangle: Rounded Corners 7">
            <a:extLst>
              <a:ext uri="{FF2B5EF4-FFF2-40B4-BE49-F238E27FC236}">
                <a16:creationId xmlns:a16="http://schemas.microsoft.com/office/drawing/2014/main" id="{32FE85AD-EEE0-4F5B-9A4D-2AC76994254A}"/>
              </a:ext>
            </a:extLst>
          </xdr:cNvPr>
          <xdr:cNvSpPr/>
        </xdr:nvSpPr>
        <xdr:spPr>
          <a:xfrm>
            <a:off x="22104365" y="232247"/>
            <a:ext cx="1854357" cy="704363"/>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44A4E16A-7966-F8AD-E88B-F513F350B185}"/>
              </a:ext>
            </a:extLst>
          </xdr:cNvPr>
          <xdr:cNvSpPr txBox="1"/>
        </xdr:nvSpPr>
        <xdr:spPr>
          <a:xfrm>
            <a:off x="22192857" y="281102"/>
            <a:ext cx="1714656" cy="279053"/>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EEEE"/>
                </a:solidFill>
              </a:rPr>
              <a:t>Avg.</a:t>
            </a:r>
            <a:r>
              <a:rPr lang="en-US" sz="1800" b="1" baseline="0">
                <a:solidFill>
                  <a:srgbClr val="EEEEEE"/>
                </a:solidFill>
              </a:rPr>
              <a:t> Delivery Day</a:t>
            </a:r>
            <a:endParaRPr lang="en-US" sz="1800" b="1">
              <a:solidFill>
                <a:srgbClr val="EEEEEE"/>
              </a:solidFill>
            </a:endParaRPr>
          </a:p>
        </xdr:txBody>
      </xdr:sp>
      <xdr:sp macro="" textlink="Sheet2!C15">
        <xdr:nvSpPr>
          <xdr:cNvPr id="15" name="TextBox 14">
            <a:extLst>
              <a:ext uri="{FF2B5EF4-FFF2-40B4-BE49-F238E27FC236}">
                <a16:creationId xmlns:a16="http://schemas.microsoft.com/office/drawing/2014/main" id="{399BE943-28EF-758B-667F-3311D9CD4AFE}"/>
              </a:ext>
            </a:extLst>
          </xdr:cNvPr>
          <xdr:cNvSpPr txBox="1"/>
        </xdr:nvSpPr>
        <xdr:spPr>
          <a:xfrm>
            <a:off x="22151889" y="601123"/>
            <a:ext cx="1745382" cy="268812"/>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765848-4571-49A4-95D4-F5912356AA2D}" type="TxLink">
              <a:rPr lang="en-US" sz="1800" b="1" i="0" u="none" strike="noStrike">
                <a:solidFill>
                  <a:srgbClr val="EEEEEE"/>
                </a:solidFill>
                <a:latin typeface="Aptos Narrow"/>
              </a:rPr>
              <a:pPr algn="ctr"/>
              <a:t>4.5</a:t>
            </a:fld>
            <a:endParaRPr lang="en-US" sz="1800" b="1">
              <a:solidFill>
                <a:srgbClr val="EEEEEE"/>
              </a:solidFill>
            </a:endParaRPr>
          </a:p>
        </xdr:txBody>
      </xdr:sp>
    </xdr:grpSp>
    <xdr:clientData/>
  </xdr:twoCellAnchor>
  <xdr:twoCellAnchor>
    <xdr:from>
      <xdr:col>7</xdr:col>
      <xdr:colOff>324825</xdr:colOff>
      <xdr:row>4</xdr:row>
      <xdr:rowOff>73109</xdr:rowOff>
    </xdr:from>
    <xdr:to>
      <xdr:col>12</xdr:col>
      <xdr:colOff>2988</xdr:colOff>
      <xdr:row>8</xdr:row>
      <xdr:rowOff>7481</xdr:rowOff>
    </xdr:to>
    <xdr:grpSp>
      <xdr:nvGrpSpPr>
        <xdr:cNvPr id="35" name="Group 34">
          <a:extLst>
            <a:ext uri="{FF2B5EF4-FFF2-40B4-BE49-F238E27FC236}">
              <a16:creationId xmlns:a16="http://schemas.microsoft.com/office/drawing/2014/main" id="{060F2756-FC10-41B5-B15B-55672FC79185}"/>
            </a:ext>
          </a:extLst>
        </xdr:cNvPr>
        <xdr:cNvGrpSpPr/>
      </xdr:nvGrpSpPr>
      <xdr:grpSpPr>
        <a:xfrm>
          <a:off x="4637421" y="786471"/>
          <a:ext cx="2758588" cy="647733"/>
          <a:chOff x="2712337" y="877370"/>
          <a:chExt cx="1860293" cy="694965"/>
        </a:xfrm>
      </xdr:grpSpPr>
      <xdr:sp macro="" textlink="">
        <xdr:nvSpPr>
          <xdr:cNvPr id="4" name="Rectangle: Rounded Corners 3">
            <a:extLst>
              <a:ext uri="{FF2B5EF4-FFF2-40B4-BE49-F238E27FC236}">
                <a16:creationId xmlns:a16="http://schemas.microsoft.com/office/drawing/2014/main" id="{FBA38297-8546-98C8-D5F7-F87B409C4009}"/>
              </a:ext>
            </a:extLst>
          </xdr:cNvPr>
          <xdr:cNvSpPr/>
        </xdr:nvSpPr>
        <xdr:spPr>
          <a:xfrm>
            <a:off x="2712337" y="877370"/>
            <a:ext cx="1860293" cy="694965"/>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41D75B2C-CC0E-5D34-E2C9-56BA16CD0222}"/>
              </a:ext>
            </a:extLst>
          </xdr:cNvPr>
          <xdr:cNvSpPr txBox="1"/>
        </xdr:nvSpPr>
        <xdr:spPr>
          <a:xfrm>
            <a:off x="2789151" y="917418"/>
            <a:ext cx="1710351" cy="335806"/>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D6CFB4"/>
                </a:solidFill>
              </a:rPr>
              <a:t> </a:t>
            </a:r>
            <a:r>
              <a:rPr lang="en-US" sz="1600" b="1">
                <a:solidFill>
                  <a:srgbClr val="EEEEEE"/>
                </a:solidFill>
              </a:rPr>
              <a:t>#</a:t>
            </a:r>
            <a:r>
              <a:rPr lang="en-US" sz="1800" b="1">
                <a:solidFill>
                  <a:srgbClr val="EEEEEE"/>
                </a:solidFill>
              </a:rPr>
              <a:t>Rejected</a:t>
            </a:r>
            <a:r>
              <a:rPr lang="en-US" sz="1600" b="1">
                <a:solidFill>
                  <a:srgbClr val="EEEEEE"/>
                </a:solidFill>
              </a:rPr>
              <a:t> </a:t>
            </a:r>
            <a:r>
              <a:rPr lang="en-US" sz="1800" b="1">
                <a:solidFill>
                  <a:srgbClr val="EEEEEE"/>
                </a:solidFill>
              </a:rPr>
              <a:t>Orders</a:t>
            </a:r>
            <a:endParaRPr lang="en-US" sz="2400" b="1">
              <a:solidFill>
                <a:srgbClr val="EEEEEE"/>
              </a:solidFill>
            </a:endParaRPr>
          </a:p>
        </xdr:txBody>
      </xdr:sp>
      <xdr:sp macro="" textlink="Sheet2!D15">
        <xdr:nvSpPr>
          <xdr:cNvPr id="17" name="TextBox 16">
            <a:extLst>
              <a:ext uri="{FF2B5EF4-FFF2-40B4-BE49-F238E27FC236}">
                <a16:creationId xmlns:a16="http://schemas.microsoft.com/office/drawing/2014/main" id="{75656200-5737-9EBE-7253-6CD12710C126}"/>
              </a:ext>
            </a:extLst>
          </xdr:cNvPr>
          <xdr:cNvSpPr txBox="1"/>
        </xdr:nvSpPr>
        <xdr:spPr>
          <a:xfrm>
            <a:off x="2789151" y="1283949"/>
            <a:ext cx="1730835" cy="223146"/>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D7CFE5-3405-49D6-B59D-5412368CC685}" type="TxLink">
              <a:rPr lang="en-US" sz="1800" b="1" i="0" u="none" strike="noStrike">
                <a:solidFill>
                  <a:srgbClr val="EEEEEE"/>
                </a:solidFill>
                <a:latin typeface="Aptos Narrow"/>
              </a:rPr>
              <a:pPr algn="ctr"/>
              <a:t>8</a:t>
            </a:fld>
            <a:endParaRPr lang="en-US" sz="1800" b="1">
              <a:solidFill>
                <a:srgbClr val="EEEEEE"/>
              </a:solidFill>
            </a:endParaRPr>
          </a:p>
        </xdr:txBody>
      </xdr:sp>
    </xdr:grpSp>
    <xdr:clientData/>
  </xdr:twoCellAnchor>
  <xdr:twoCellAnchor>
    <xdr:from>
      <xdr:col>15</xdr:col>
      <xdr:colOff>517283</xdr:colOff>
      <xdr:row>4</xdr:row>
      <xdr:rowOff>73109</xdr:rowOff>
    </xdr:from>
    <xdr:to>
      <xdr:col>20</xdr:col>
      <xdr:colOff>208602</xdr:colOff>
      <xdr:row>8</xdr:row>
      <xdr:rowOff>3054</xdr:rowOff>
    </xdr:to>
    <xdr:grpSp>
      <xdr:nvGrpSpPr>
        <xdr:cNvPr id="33" name="Group 32">
          <a:extLst>
            <a:ext uri="{FF2B5EF4-FFF2-40B4-BE49-F238E27FC236}">
              <a16:creationId xmlns:a16="http://schemas.microsoft.com/office/drawing/2014/main" id="{2BC6E179-9DE9-FB8E-C8F2-8A8774B6EBE0}"/>
            </a:ext>
          </a:extLst>
        </xdr:cNvPr>
        <xdr:cNvGrpSpPr/>
      </xdr:nvGrpSpPr>
      <xdr:grpSpPr>
        <a:xfrm>
          <a:off x="9758560" y="786471"/>
          <a:ext cx="2771744" cy="643306"/>
          <a:chOff x="6207754" y="877370"/>
          <a:chExt cx="1927532" cy="694965"/>
        </a:xfrm>
      </xdr:grpSpPr>
      <xdr:sp macro="" textlink="">
        <xdr:nvSpPr>
          <xdr:cNvPr id="7" name="Rectangle: Rounded Corners 6">
            <a:extLst>
              <a:ext uri="{FF2B5EF4-FFF2-40B4-BE49-F238E27FC236}">
                <a16:creationId xmlns:a16="http://schemas.microsoft.com/office/drawing/2014/main" id="{CB92E95A-B657-4911-8229-5C45BE36607B}"/>
              </a:ext>
            </a:extLst>
          </xdr:cNvPr>
          <xdr:cNvSpPr/>
        </xdr:nvSpPr>
        <xdr:spPr>
          <a:xfrm>
            <a:off x="6207754" y="877370"/>
            <a:ext cx="1927532" cy="694965"/>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7">
            <a:extLst>
              <a:ext uri="{FF2B5EF4-FFF2-40B4-BE49-F238E27FC236}">
                <a16:creationId xmlns:a16="http://schemas.microsoft.com/office/drawing/2014/main" id="{30CBE608-27D4-2746-164E-6D31CBAAFB1B}"/>
              </a:ext>
            </a:extLst>
          </xdr:cNvPr>
          <xdr:cNvSpPr txBox="1"/>
        </xdr:nvSpPr>
        <xdr:spPr>
          <a:xfrm>
            <a:off x="6261065" y="917418"/>
            <a:ext cx="1823012" cy="356290"/>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EEEE"/>
                </a:solidFill>
              </a:rPr>
              <a:t>Delivery</a:t>
            </a:r>
            <a:r>
              <a:rPr lang="en-US" sz="1800" b="1" baseline="0">
                <a:solidFill>
                  <a:srgbClr val="EEEEEE"/>
                </a:solidFill>
              </a:rPr>
              <a:t> Success Rate</a:t>
            </a:r>
            <a:endParaRPr lang="en-US" sz="1800" b="1">
              <a:solidFill>
                <a:srgbClr val="EEEEEE"/>
              </a:solidFill>
            </a:endParaRPr>
          </a:p>
        </xdr:txBody>
      </xdr:sp>
      <xdr:sp macro="" textlink="Sheet2!E15">
        <xdr:nvSpPr>
          <xdr:cNvPr id="19" name="TextBox 18">
            <a:extLst>
              <a:ext uri="{FF2B5EF4-FFF2-40B4-BE49-F238E27FC236}">
                <a16:creationId xmlns:a16="http://schemas.microsoft.com/office/drawing/2014/main" id="{A43DB419-63D8-5D03-3EAD-A7B53B3EF7F9}"/>
              </a:ext>
            </a:extLst>
          </xdr:cNvPr>
          <xdr:cNvSpPr txBox="1"/>
        </xdr:nvSpPr>
        <xdr:spPr>
          <a:xfrm>
            <a:off x="6261064" y="1278950"/>
            <a:ext cx="1823013" cy="228145"/>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2C9E41-AF64-4163-A75D-060A7CD7D6C0}" type="TxLink">
              <a:rPr lang="en-US" sz="1800" b="1" i="0" u="none" strike="noStrike">
                <a:solidFill>
                  <a:srgbClr val="EEEEEE"/>
                </a:solidFill>
                <a:latin typeface="Aptos Narrow"/>
              </a:rPr>
              <a:pPr algn="ctr"/>
              <a:t>63%</a:t>
            </a:fld>
            <a:endParaRPr lang="en-US" sz="1800" b="1">
              <a:solidFill>
                <a:srgbClr val="EEEEEE"/>
              </a:solidFill>
            </a:endParaRPr>
          </a:p>
        </xdr:txBody>
      </xdr:sp>
    </xdr:grpSp>
    <xdr:clientData/>
  </xdr:twoCellAnchor>
  <xdr:twoCellAnchor>
    <xdr:from>
      <xdr:col>24</xdr:col>
      <xdr:colOff>119648</xdr:colOff>
      <xdr:row>4</xdr:row>
      <xdr:rowOff>73109</xdr:rowOff>
    </xdr:from>
    <xdr:to>
      <xdr:col>28</xdr:col>
      <xdr:colOff>421298</xdr:colOff>
      <xdr:row>7</xdr:row>
      <xdr:rowOff>185821</xdr:rowOff>
    </xdr:to>
    <xdr:grpSp>
      <xdr:nvGrpSpPr>
        <xdr:cNvPr id="31" name="Group 30">
          <a:extLst>
            <a:ext uri="{FF2B5EF4-FFF2-40B4-BE49-F238E27FC236}">
              <a16:creationId xmlns:a16="http://schemas.microsoft.com/office/drawing/2014/main" id="{45B4807B-3154-AABF-B0D5-37D3F2E90BF7}"/>
            </a:ext>
          </a:extLst>
        </xdr:cNvPr>
        <xdr:cNvGrpSpPr/>
      </xdr:nvGrpSpPr>
      <xdr:grpSpPr>
        <a:xfrm>
          <a:off x="14905691" y="786471"/>
          <a:ext cx="2765990" cy="647733"/>
          <a:chOff x="9588159" y="897011"/>
          <a:chExt cx="2083866" cy="704362"/>
        </a:xfrm>
      </xdr:grpSpPr>
      <xdr:sp macro="" textlink="">
        <xdr:nvSpPr>
          <xdr:cNvPr id="9" name="Rectangle: Rounded Corners 8">
            <a:extLst>
              <a:ext uri="{FF2B5EF4-FFF2-40B4-BE49-F238E27FC236}">
                <a16:creationId xmlns:a16="http://schemas.microsoft.com/office/drawing/2014/main" id="{B3857DDB-FC01-445D-B500-3E0B77260C05}"/>
              </a:ext>
            </a:extLst>
          </xdr:cNvPr>
          <xdr:cNvSpPr/>
        </xdr:nvSpPr>
        <xdr:spPr>
          <a:xfrm>
            <a:off x="9588159" y="897011"/>
            <a:ext cx="2083866" cy="704362"/>
          </a:xfrm>
          <a:prstGeom prst="roundRect">
            <a:avLst/>
          </a:prstGeom>
          <a:solidFill>
            <a:srgbClr val="AF2655"/>
          </a:solidFill>
          <a:ln>
            <a:solidFill>
              <a:srgbClr val="EEEE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7F997FFF-7A58-F1AE-80EB-87597790CE78}"/>
              </a:ext>
            </a:extLst>
          </xdr:cNvPr>
          <xdr:cNvSpPr txBox="1"/>
        </xdr:nvSpPr>
        <xdr:spPr>
          <a:xfrm>
            <a:off x="9638448" y="928077"/>
            <a:ext cx="1992609" cy="318760"/>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EEEE"/>
                </a:solidFill>
              </a:rPr>
              <a:t>Highest Paying Customer</a:t>
            </a:r>
          </a:p>
        </xdr:txBody>
      </xdr:sp>
      <xdr:sp macro="" textlink="Sheet2!F15">
        <xdr:nvSpPr>
          <xdr:cNvPr id="21" name="TextBox 20">
            <a:extLst>
              <a:ext uri="{FF2B5EF4-FFF2-40B4-BE49-F238E27FC236}">
                <a16:creationId xmlns:a16="http://schemas.microsoft.com/office/drawing/2014/main" id="{61167563-4BD4-F8AB-F4DB-5C53209EC29F}"/>
              </a:ext>
            </a:extLst>
          </xdr:cNvPr>
          <xdr:cNvSpPr txBox="1"/>
        </xdr:nvSpPr>
        <xdr:spPr>
          <a:xfrm>
            <a:off x="9658933" y="1267321"/>
            <a:ext cx="1951640" cy="248328"/>
          </a:xfrm>
          <a:prstGeom prst="rect">
            <a:avLst/>
          </a:prstGeom>
          <a:solidFill>
            <a:srgbClr val="AF2655"/>
          </a:solidFill>
          <a:ln w="9525" cmpd="sng">
            <a:solidFill>
              <a:srgbClr val="AF2655"/>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1AD498-3CAF-4E5E-B8C2-22CB6FC6AE31}" type="TxLink">
              <a:rPr lang="en-US" sz="1800" b="1" i="0" u="none" strike="noStrike">
                <a:solidFill>
                  <a:srgbClr val="EEEEEE"/>
                </a:solidFill>
                <a:latin typeface="Aptos Narrow"/>
              </a:rPr>
              <a:pPr algn="ctr"/>
              <a:t>Mervat Mahmoud</a:t>
            </a:fld>
            <a:endParaRPr lang="en-US" sz="1800" b="1">
              <a:solidFill>
                <a:srgbClr val="EEEEEE"/>
              </a:solidFill>
            </a:endParaRPr>
          </a:p>
        </xdr:txBody>
      </xdr:sp>
    </xdr:grpSp>
    <xdr:clientData/>
  </xdr:twoCellAnchor>
  <xdr:twoCellAnchor editAs="oneCell">
    <xdr:from>
      <xdr:col>27</xdr:col>
      <xdr:colOff>78601</xdr:colOff>
      <xdr:row>16</xdr:row>
      <xdr:rowOff>109964</xdr:rowOff>
    </xdr:from>
    <xdr:to>
      <xdr:col>32</xdr:col>
      <xdr:colOff>591935</xdr:colOff>
      <xdr:row>22</xdr:row>
      <xdr:rowOff>118484</xdr:rowOff>
    </xdr:to>
    <mc:AlternateContent xmlns:mc="http://schemas.openxmlformats.org/markup-compatibility/2006" xmlns:a14="http://schemas.microsoft.com/office/drawing/2010/main">
      <mc:Choice Requires="a14">
        <xdr:graphicFrame macro="">
          <xdr:nvGraphicFramePr>
            <xdr:cNvPr id="22" name="Language">
              <a:extLst>
                <a:ext uri="{FF2B5EF4-FFF2-40B4-BE49-F238E27FC236}">
                  <a16:creationId xmlns:a16="http://schemas.microsoft.com/office/drawing/2014/main" id="{0D6DFE0C-20DC-4ADC-9135-2C0434E75510}"/>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mlns="">
        <xdr:sp macro="" textlink="">
          <xdr:nvSpPr>
            <xdr:cNvPr id="0" name=""/>
            <xdr:cNvSpPr>
              <a:spLocks noTextEdit="1"/>
            </xdr:cNvSpPr>
          </xdr:nvSpPr>
          <xdr:spPr>
            <a:xfrm>
              <a:off x="16366351" y="3157964"/>
              <a:ext cx="3529584" cy="115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108027</xdr:colOff>
      <xdr:row>8</xdr:row>
      <xdr:rowOff>114537</xdr:rowOff>
    </xdr:from>
    <xdr:to>
      <xdr:col>33</xdr:col>
      <xdr:colOff>15875</xdr:colOff>
      <xdr:row>16</xdr:row>
      <xdr:rowOff>88900</xdr:rowOff>
    </xdr:to>
    <mc:AlternateContent xmlns:mc="http://schemas.openxmlformats.org/markup-compatibility/2006" xmlns:a14="http://schemas.microsoft.com/office/drawing/2010/main">
      <mc:Choice Requires="a14">
        <xdr:graphicFrame macro="">
          <xdr:nvGraphicFramePr>
            <xdr:cNvPr id="23" name="shipping method">
              <a:extLst>
                <a:ext uri="{FF2B5EF4-FFF2-40B4-BE49-F238E27FC236}">
                  <a16:creationId xmlns:a16="http://schemas.microsoft.com/office/drawing/2014/main" id="{51C57E9E-14AE-4474-9006-375DEAC10A18}"/>
                </a:ext>
              </a:extLst>
            </xdr:cNvPr>
            <xdr:cNvGraphicFramePr/>
          </xdr:nvGraphicFramePr>
          <xdr:xfrm>
            <a:off x="0" y="0"/>
            <a:ext cx="0" cy="0"/>
          </xdr:xfrm>
          <a:graphic>
            <a:graphicData uri="http://schemas.microsoft.com/office/drawing/2010/slicer">
              <sle:slicer xmlns:sle="http://schemas.microsoft.com/office/drawing/2010/slicer" name="shipping method"/>
            </a:graphicData>
          </a:graphic>
        </xdr:graphicFrame>
      </mc:Choice>
      <mc:Fallback xmlns="">
        <xdr:sp macro="" textlink="">
          <xdr:nvSpPr>
            <xdr:cNvPr id="0" name=""/>
            <xdr:cNvSpPr>
              <a:spLocks noTextEdit="1"/>
            </xdr:cNvSpPr>
          </xdr:nvSpPr>
          <xdr:spPr>
            <a:xfrm>
              <a:off x="16395777" y="1638537"/>
              <a:ext cx="3527348" cy="1366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135603</xdr:rowOff>
    </xdr:from>
    <xdr:to>
      <xdr:col>27</xdr:col>
      <xdr:colOff>31750</xdr:colOff>
      <xdr:row>13</xdr:row>
      <xdr:rowOff>69695</xdr:rowOff>
    </xdr:to>
    <mc:AlternateContent xmlns:mc="http://schemas.openxmlformats.org/markup-compatibility/2006" xmlns:a14="http://schemas.microsoft.com/office/drawing/2010/main">
      <mc:Choice Requires="a14">
        <xdr:graphicFrame macro="">
          <xdr:nvGraphicFramePr>
            <xdr:cNvPr id="24" name="Destination country">
              <a:extLst>
                <a:ext uri="{FF2B5EF4-FFF2-40B4-BE49-F238E27FC236}">
                  <a16:creationId xmlns:a16="http://schemas.microsoft.com/office/drawing/2014/main" id="{4E9E6526-91B4-4980-B20B-5AA88E16320A}"/>
                </a:ext>
              </a:extLst>
            </xdr:cNvPr>
            <xdr:cNvGraphicFramePr/>
          </xdr:nvGraphicFramePr>
          <xdr:xfrm>
            <a:off x="0" y="0"/>
            <a:ext cx="0" cy="0"/>
          </xdr:xfrm>
          <a:graphic>
            <a:graphicData uri="http://schemas.microsoft.com/office/drawing/2010/slicer">
              <sle:slicer xmlns:sle="http://schemas.microsoft.com/office/drawing/2010/slicer" name="Destination country"/>
            </a:graphicData>
          </a:graphic>
        </xdr:graphicFrame>
      </mc:Choice>
      <mc:Fallback xmlns="">
        <xdr:sp macro="" textlink="">
          <xdr:nvSpPr>
            <xdr:cNvPr id="0" name=""/>
            <xdr:cNvSpPr>
              <a:spLocks noTextEdit="1"/>
            </xdr:cNvSpPr>
          </xdr:nvSpPr>
          <xdr:spPr>
            <a:xfrm>
              <a:off x="0" y="1659603"/>
              <a:ext cx="16319500" cy="886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101833</xdr:colOff>
      <xdr:row>22</xdr:row>
      <xdr:rowOff>42623</xdr:rowOff>
    </xdr:from>
    <xdr:to>
      <xdr:col>33</xdr:col>
      <xdr:colOff>8905</xdr:colOff>
      <xdr:row>31</xdr:row>
      <xdr:rowOff>133194</xdr:rowOff>
    </xdr:to>
    <mc:AlternateContent xmlns:mc="http://schemas.openxmlformats.org/markup-compatibility/2006" xmlns:a14="http://schemas.microsoft.com/office/drawing/2010/main">
      <mc:Choice Requires="a14">
        <xdr:graphicFrame macro="">
          <xdr:nvGraphicFramePr>
            <xdr:cNvPr id="25" name="Months (received date)">
              <a:extLst>
                <a:ext uri="{FF2B5EF4-FFF2-40B4-BE49-F238E27FC236}">
                  <a16:creationId xmlns:a16="http://schemas.microsoft.com/office/drawing/2014/main" id="{C5FAF0DE-542C-4AB9-844E-7AA38DDA7BF8}"/>
                </a:ext>
              </a:extLst>
            </xdr:cNvPr>
            <xdr:cNvGraphicFramePr/>
          </xdr:nvGraphicFramePr>
          <xdr:xfrm>
            <a:off x="0" y="0"/>
            <a:ext cx="0" cy="0"/>
          </xdr:xfrm>
          <a:graphic>
            <a:graphicData uri="http://schemas.microsoft.com/office/drawing/2010/slicer">
              <sle:slicer xmlns:sle="http://schemas.microsoft.com/office/drawing/2010/slicer" name="Months (received date)"/>
            </a:graphicData>
          </a:graphic>
        </xdr:graphicFrame>
      </mc:Choice>
      <mc:Fallback xmlns="">
        <xdr:sp macro="" textlink="">
          <xdr:nvSpPr>
            <xdr:cNvPr id="0" name=""/>
            <xdr:cNvSpPr>
              <a:spLocks noTextEdit="1"/>
            </xdr:cNvSpPr>
          </xdr:nvSpPr>
          <xdr:spPr>
            <a:xfrm>
              <a:off x="16389583" y="4233623"/>
              <a:ext cx="3526572" cy="1805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108124</xdr:colOff>
      <xdr:row>31</xdr:row>
      <xdr:rowOff>12700</xdr:rowOff>
    </xdr:from>
    <xdr:to>
      <xdr:col>33</xdr:col>
      <xdr:colOff>18208</xdr:colOff>
      <xdr:row>37</xdr:row>
      <xdr:rowOff>9681</xdr:rowOff>
    </xdr:to>
    <mc:AlternateContent xmlns:mc="http://schemas.openxmlformats.org/markup-compatibility/2006" xmlns:a14="http://schemas.microsoft.com/office/drawing/2010/main">
      <mc:Choice Requires="a14">
        <xdr:graphicFrame macro="">
          <xdr:nvGraphicFramePr>
            <xdr:cNvPr id="26" name="Years (received date)">
              <a:extLst>
                <a:ext uri="{FF2B5EF4-FFF2-40B4-BE49-F238E27FC236}">
                  <a16:creationId xmlns:a16="http://schemas.microsoft.com/office/drawing/2014/main" id="{20BA3E81-7F35-4673-AA49-C0AA7D3909E8}"/>
                </a:ext>
              </a:extLst>
            </xdr:cNvPr>
            <xdr:cNvGraphicFramePr/>
          </xdr:nvGraphicFramePr>
          <xdr:xfrm>
            <a:off x="0" y="0"/>
            <a:ext cx="0" cy="0"/>
          </xdr:xfrm>
          <a:graphic>
            <a:graphicData uri="http://schemas.microsoft.com/office/drawing/2010/slicer">
              <sle:slicer xmlns:sle="http://schemas.microsoft.com/office/drawing/2010/slicer" name="Years (received date)"/>
            </a:graphicData>
          </a:graphic>
        </xdr:graphicFrame>
      </mc:Choice>
      <mc:Fallback xmlns="">
        <xdr:sp macro="" textlink="">
          <xdr:nvSpPr>
            <xdr:cNvPr id="0" name=""/>
            <xdr:cNvSpPr>
              <a:spLocks noTextEdit="1"/>
            </xdr:cNvSpPr>
          </xdr:nvSpPr>
          <xdr:spPr>
            <a:xfrm>
              <a:off x="16395874" y="5986775"/>
              <a:ext cx="3529584" cy="1071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377404</xdr:colOff>
      <xdr:row>13</xdr:row>
      <xdr:rowOff>94917</xdr:rowOff>
    </xdr:from>
    <xdr:to>
      <xdr:col>19</xdr:col>
      <xdr:colOff>46463</xdr:colOff>
      <xdr:row>25</xdr:row>
      <xdr:rowOff>179716</xdr:rowOff>
    </xdr:to>
    <xdr:graphicFrame macro="">
      <xdr:nvGraphicFramePr>
        <xdr:cNvPr id="3" name="Chart 2">
          <a:extLst>
            <a:ext uri="{FF2B5EF4-FFF2-40B4-BE49-F238E27FC236}">
              <a16:creationId xmlns:a16="http://schemas.microsoft.com/office/drawing/2014/main" id="{B05AA1AE-3248-46E3-B23B-35C2E1D2C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42656</xdr:rowOff>
    </xdr:from>
    <xdr:to>
      <xdr:col>8</xdr:col>
      <xdr:colOff>53915</xdr:colOff>
      <xdr:row>27</xdr:row>
      <xdr:rowOff>0</xdr:rowOff>
    </xdr:to>
    <xdr:graphicFrame macro="">
      <xdr:nvGraphicFramePr>
        <xdr:cNvPr id="28" name="Chart 27">
          <a:extLst>
            <a:ext uri="{FF2B5EF4-FFF2-40B4-BE49-F238E27FC236}">
              <a16:creationId xmlns:a16="http://schemas.microsoft.com/office/drawing/2014/main" id="{FDD3F001-F011-4AEA-8638-C8A93BDEB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487864</xdr:colOff>
      <xdr:row>12</xdr:row>
      <xdr:rowOff>174625</xdr:rowOff>
    </xdr:from>
    <xdr:to>
      <xdr:col>27</xdr:col>
      <xdr:colOff>31750</xdr:colOff>
      <xdr:row>26</xdr:row>
      <xdr:rowOff>172264</xdr:rowOff>
    </xdr:to>
    <xdr:graphicFrame macro="">
      <xdr:nvGraphicFramePr>
        <xdr:cNvPr id="29" name="Chart 28">
          <a:extLst>
            <a:ext uri="{FF2B5EF4-FFF2-40B4-BE49-F238E27FC236}">
              <a16:creationId xmlns:a16="http://schemas.microsoft.com/office/drawing/2014/main" id="{39C1273C-2FEB-4D4B-9596-C7AED6643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418171</xdr:colOff>
      <xdr:row>26</xdr:row>
      <xdr:rowOff>179275</xdr:rowOff>
    </xdr:from>
    <xdr:to>
      <xdr:col>26</xdr:col>
      <xdr:colOff>523875</xdr:colOff>
      <xdr:row>40</xdr:row>
      <xdr:rowOff>127000</xdr:rowOff>
    </xdr:to>
    <xdr:graphicFrame macro="">
      <xdr:nvGraphicFramePr>
        <xdr:cNvPr id="37" name="Chart 36">
          <a:extLst>
            <a:ext uri="{FF2B5EF4-FFF2-40B4-BE49-F238E27FC236}">
              <a16:creationId xmlns:a16="http://schemas.microsoft.com/office/drawing/2014/main" id="{77ABDFD3-8B12-424E-BE0C-36AEEEA86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46702</xdr:rowOff>
    </xdr:from>
    <xdr:to>
      <xdr:col>8</xdr:col>
      <xdr:colOff>142875</xdr:colOff>
      <xdr:row>40</xdr:row>
      <xdr:rowOff>88312</xdr:rowOff>
    </xdr:to>
    <xdr:graphicFrame macro="">
      <xdr:nvGraphicFramePr>
        <xdr:cNvPr id="38" name="Chart 37">
          <a:extLst>
            <a:ext uri="{FF2B5EF4-FFF2-40B4-BE49-F238E27FC236}">
              <a16:creationId xmlns:a16="http://schemas.microsoft.com/office/drawing/2014/main" id="{F41D41CA-F1B9-494B-BC88-5BFB54385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244962</xdr:colOff>
      <xdr:row>27</xdr:row>
      <xdr:rowOff>4131</xdr:rowOff>
    </xdr:from>
    <xdr:to>
      <xdr:col>19</xdr:col>
      <xdr:colOff>57405</xdr:colOff>
      <xdr:row>40</xdr:row>
      <xdr:rowOff>41519</xdr:rowOff>
    </xdr:to>
    <xdr:graphicFrame macro="">
      <xdr:nvGraphicFramePr>
        <xdr:cNvPr id="39" name="Chart 38">
          <a:extLst>
            <a:ext uri="{FF2B5EF4-FFF2-40B4-BE49-F238E27FC236}">
              <a16:creationId xmlns:a16="http://schemas.microsoft.com/office/drawing/2014/main" id="{3114D333-1BD7-45FD-8A02-1A9636D45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40</xdr:row>
      <xdr:rowOff>170370</xdr:rowOff>
    </xdr:from>
    <xdr:to>
      <xdr:col>18</xdr:col>
      <xdr:colOff>394939</xdr:colOff>
      <xdr:row>54</xdr:row>
      <xdr:rowOff>161746</xdr:rowOff>
    </xdr:to>
    <xdr:graphicFrame macro="">
      <xdr:nvGraphicFramePr>
        <xdr:cNvPr id="27" name="Chart 26">
          <a:extLst>
            <a:ext uri="{FF2B5EF4-FFF2-40B4-BE49-F238E27FC236}">
              <a16:creationId xmlns:a16="http://schemas.microsoft.com/office/drawing/2014/main" id="{6CC941D3-D8E6-445E-A8A2-666630617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53529</xdr:colOff>
      <xdr:row>40</xdr:row>
      <xdr:rowOff>177924</xdr:rowOff>
    </xdr:from>
    <xdr:to>
      <xdr:col>32</xdr:col>
      <xdr:colOff>460375</xdr:colOff>
      <xdr:row>54</xdr:row>
      <xdr:rowOff>171828</xdr:rowOff>
    </xdr:to>
    <xdr:graphicFrame macro="">
      <xdr:nvGraphicFramePr>
        <xdr:cNvPr id="36" name="Chart 35">
          <a:extLst>
            <a:ext uri="{FF2B5EF4-FFF2-40B4-BE49-F238E27FC236}">
              <a16:creationId xmlns:a16="http://schemas.microsoft.com/office/drawing/2014/main" id="{040ECA13-ECD4-4EAC-9858-AF0E0F11D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7</xdr:col>
      <xdr:colOff>292100</xdr:colOff>
      <xdr:row>7</xdr:row>
      <xdr:rowOff>12700</xdr:rowOff>
    </xdr:to>
    <xdr:pic>
      <xdr:nvPicPr>
        <xdr:cNvPr id="40" name="Picture 39">
          <a:extLst>
            <a:ext uri="{FF2B5EF4-FFF2-40B4-BE49-F238E27FC236}">
              <a16:creationId xmlns:a16="http://schemas.microsoft.com/office/drawing/2014/main" id="{7BF5C497-B426-EBBE-F9F1-65D98BC9B2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4604696" cy="126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c:userShapes xmlns:c="http://schemas.openxmlformats.org/drawingml/2006/chart">
  <cdr:relSizeAnchor xmlns:cdr="http://schemas.openxmlformats.org/drawingml/2006/chartDrawing">
    <cdr:from>
      <cdr:x>0.77831</cdr:x>
      <cdr:y>0</cdr:y>
    </cdr:from>
    <cdr:to>
      <cdr:x>0.85657</cdr:x>
      <cdr:y>0.19042</cdr:y>
    </cdr:to>
    <cdr:pic>
      <cdr:nvPicPr>
        <cdr:cNvPr id="3" name="Picture 2">
          <a:extLst xmlns:a="http://schemas.openxmlformats.org/drawingml/2006/main">
            <a:ext uri="{FF2B5EF4-FFF2-40B4-BE49-F238E27FC236}">
              <a16:creationId xmlns:a16="http://schemas.microsoft.com/office/drawing/2014/main" id="{9AA2A34A-814E-E49E-B8D5-ABBB9B7C9EA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11617" y="0"/>
          <a:ext cx="503984" cy="41796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0.82725</cdr:x>
      <cdr:y>0.04846</cdr:y>
    </cdr:from>
    <cdr:to>
      <cdr:x>0.9067</cdr:x>
      <cdr:y>0.16762</cdr:y>
    </cdr:to>
    <cdr:pic>
      <cdr:nvPicPr>
        <cdr:cNvPr id="3" name="Picture 2">
          <a:extLst xmlns:a="http://schemas.openxmlformats.org/drawingml/2006/main">
            <a:ext uri="{FF2B5EF4-FFF2-40B4-BE49-F238E27FC236}">
              <a16:creationId xmlns:a16="http://schemas.microsoft.com/office/drawing/2014/main" id="{13B40BB0-7BA7-CBB7-08AD-CE6CA22F675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103539" y="124020"/>
          <a:ext cx="394120" cy="304974"/>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0.81213</cdr:x>
      <cdr:y>0</cdr:y>
    </cdr:from>
    <cdr:to>
      <cdr:x>0.91015</cdr:x>
      <cdr:y>0.17328</cdr:y>
    </cdr:to>
    <cdr:pic>
      <cdr:nvPicPr>
        <cdr:cNvPr id="3" name="Picture 2">
          <a:extLst xmlns:a="http://schemas.openxmlformats.org/drawingml/2006/main">
            <a:ext uri="{FF2B5EF4-FFF2-40B4-BE49-F238E27FC236}">
              <a16:creationId xmlns:a16="http://schemas.microsoft.com/office/drawing/2014/main" id="{C1BD4735-9B16-CFD3-7848-07C2541A0EA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128096" y="0"/>
          <a:ext cx="498231" cy="426183"/>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0.84938</cdr:x>
      <cdr:y>0</cdr:y>
    </cdr:from>
    <cdr:to>
      <cdr:x>0.95133</cdr:x>
      <cdr:y>0.16226</cdr:y>
    </cdr:to>
    <cdr:pic>
      <cdr:nvPicPr>
        <cdr:cNvPr id="3" name="Picture 2">
          <a:extLst xmlns:a="http://schemas.openxmlformats.org/drawingml/2006/main">
            <a:ext uri="{FF2B5EF4-FFF2-40B4-BE49-F238E27FC236}">
              <a16:creationId xmlns:a16="http://schemas.microsoft.com/office/drawing/2014/main" id="{36CC061E-8C68-81BE-2AA8-82EA6CEE6E0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232031" y="0"/>
          <a:ext cx="507952" cy="417600"/>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0.8872</cdr:x>
      <cdr:y>0.03782</cdr:y>
    </cdr:from>
    <cdr:to>
      <cdr:x>1</cdr:x>
      <cdr:y>0.20748</cdr:y>
    </cdr:to>
    <cdr:pic>
      <cdr:nvPicPr>
        <cdr:cNvPr id="3" name="Picture 2">
          <a:extLst xmlns:a="http://schemas.openxmlformats.org/drawingml/2006/main">
            <a:ext uri="{FF2B5EF4-FFF2-40B4-BE49-F238E27FC236}">
              <a16:creationId xmlns:a16="http://schemas.microsoft.com/office/drawing/2014/main" id="{630B3C64-1DDD-FA50-EB78-0707A1166E0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453464" y="93785"/>
          <a:ext cx="566211" cy="42076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0.78777</cdr:x>
      <cdr:y>0</cdr:y>
    </cdr:from>
    <cdr:to>
      <cdr:x>0.85692</cdr:x>
      <cdr:y>0.17021</cdr:y>
    </cdr:to>
    <cdr:pic>
      <cdr:nvPicPr>
        <cdr:cNvPr id="5" name="Picture 4">
          <a:extLst xmlns:a="http://schemas.openxmlformats.org/drawingml/2006/main">
            <a:ext uri="{FF2B5EF4-FFF2-40B4-BE49-F238E27FC236}">
              <a16:creationId xmlns:a16="http://schemas.microsoft.com/office/drawing/2014/main" id="{9CF31310-1912-C2FB-D5E4-7CF2341670F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166917" y="0"/>
          <a:ext cx="453588" cy="417600"/>
        </a:xfrm>
        <a:prstGeom xmlns:a="http://schemas.openxmlformats.org/drawingml/2006/main" prst="rect">
          <a:avLst/>
        </a:prstGeom>
      </cdr:spPr>
    </cdr:pic>
  </cdr:relSizeAnchor>
</c:userShapes>
</file>

<file path=xl/drawings/drawing9.xml><?xml version="1.0" encoding="utf-8"?>
<c:userShapes xmlns:c="http://schemas.openxmlformats.org/drawingml/2006/chart">
  <cdr:relSizeAnchor xmlns:cdr="http://schemas.openxmlformats.org/drawingml/2006/chartDrawing">
    <cdr:from>
      <cdr:x>0.64608</cdr:x>
      <cdr:y>0</cdr:y>
    </cdr:from>
    <cdr:to>
      <cdr:x>0.69484</cdr:x>
      <cdr:y>0.16103</cdr:y>
    </cdr:to>
    <cdr:pic>
      <cdr:nvPicPr>
        <cdr:cNvPr id="3" name="Picture 2">
          <a:extLst xmlns:a="http://schemas.openxmlformats.org/drawingml/2006/main">
            <a:ext uri="{FF2B5EF4-FFF2-40B4-BE49-F238E27FC236}">
              <a16:creationId xmlns:a16="http://schemas.microsoft.com/office/drawing/2014/main" id="{778BC731-88FB-2F48-39B3-0613C60F743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7387683" y="0"/>
          <a:ext cx="557561" cy="417600"/>
        </a:xfrm>
        <a:prstGeom xmlns:a="http://schemas.openxmlformats.org/drawingml/2006/main" prst="rect">
          <a:avLst/>
        </a:prstGeom>
      </cdr:spPr>
    </cdr:pic>
  </cdr:relSizeAnchor>
</c:userShapes>
</file>

<file path=xl/drawings/drawing10.xml><?xml version="1.0" encoding="utf-8"?>
<c:userShapes xmlns:c="http://schemas.openxmlformats.org/drawingml/2006/chart">
  <cdr:relSizeAnchor xmlns:cdr="http://schemas.openxmlformats.org/drawingml/2006/chartDrawing">
    <cdr:from>
      <cdr:x>0.67977</cdr:x>
      <cdr:y>0</cdr:y>
    </cdr:from>
    <cdr:to>
      <cdr:x>0.73548</cdr:x>
      <cdr:y>0.16087</cdr:y>
    </cdr:to>
    <cdr:pic>
      <cdr:nvPicPr>
        <cdr:cNvPr id="3" name="Picture 2">
          <a:extLst xmlns:a="http://schemas.openxmlformats.org/drawingml/2006/main">
            <a:ext uri="{FF2B5EF4-FFF2-40B4-BE49-F238E27FC236}">
              <a16:creationId xmlns:a16="http://schemas.microsoft.com/office/drawing/2014/main" id="{CA183789-A142-378C-6B3C-675F483485A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696417" y="0"/>
          <a:ext cx="466861" cy="4176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m" refreshedDate="45712.782639699071" createdVersion="8" refreshedVersion="8" minRefreshableVersion="3" recordCount="54" xr:uid="{71FF498C-F4A9-4BE0-9C13-28FE7AE5FD35}">
  <cacheSource type="worksheet">
    <worksheetSource name="Sheet1"/>
  </cacheSource>
  <cacheFields count="21">
    <cacheField name="ID" numFmtId="0">
      <sharedItems/>
    </cacheField>
    <cacheField name="Customer Name" numFmtId="0">
      <sharedItems count="11">
        <s v="Shrouk Ashraf"/>
        <s v="Abeer Essam"/>
        <s v="Mariam Sayed"/>
        <s v="Gehad Samy"/>
        <s v="Gerges Maher"/>
        <s v="Sherif Nagy"/>
        <s v="Abdelrahman Adel"/>
        <s v="Bishoy Ibrahim"/>
        <s v="Kholoud Mamdouh"/>
        <s v="Farha Gamal"/>
        <s v="Mervat Mahmoud"/>
      </sharedItems>
    </cacheField>
    <cacheField name="Number" numFmtId="0">
      <sharedItems/>
    </cacheField>
    <cacheField name="E-mail" numFmtId="0">
      <sharedItems/>
    </cacheField>
    <cacheField name="Address" numFmtId="0">
      <sharedItems count="5">
        <s v="Greece"/>
        <s v="Germany"/>
        <s v="Egypt"/>
        <s v="France"/>
        <s v="Turkey"/>
      </sharedItems>
    </cacheField>
    <cacheField name="Language" numFmtId="0">
      <sharedItems count="2">
        <s v="English"/>
        <s v="German "/>
      </sharedItems>
    </cacheField>
    <cacheField name="Order" numFmtId="0">
      <sharedItems/>
    </cacheField>
    <cacheField name="Type of goods" numFmtId="0">
      <sharedItems count="3">
        <s v="Unbreakable"/>
        <s v="breakable"/>
        <s v="Document"/>
      </sharedItems>
    </cacheField>
    <cacheField name="shipping method" numFmtId="0">
      <sharedItems count="3">
        <s v="Air"/>
        <s v="Ocean"/>
        <s v="Road"/>
      </sharedItems>
    </cacheField>
    <cacheField name="Weight" numFmtId="0">
      <sharedItems containsString="0" containsBlank="1" containsNumber="1" containsInteger="1" minValue="4" maxValue="36"/>
    </cacheField>
    <cacheField name="received date" numFmtId="14">
      <sharedItems containsSemiMixedTypes="0" containsNonDate="0" containsDate="1" containsString="0" minDate="2017-10-28T00:00:00" maxDate="2018-01-06T00:00:00" count="24">
        <d v="2018-01-05T00:00:00"/>
        <d v="2018-01-04T00:00:00"/>
        <d v="2018-01-03T00:00:00"/>
        <d v="2018-01-02T00:00:00"/>
        <d v="2017-12-29T00:00:00"/>
        <d v="2018-01-01T00:00:00"/>
        <d v="2017-12-30T00:00:00"/>
        <d v="2017-12-28T00:00:00"/>
        <d v="2017-12-27T00:00:00"/>
        <d v="2017-12-04T00:00:00"/>
        <d v="2017-12-02T00:00:00"/>
        <d v="2017-12-01T00:00:00"/>
        <d v="2017-11-30T00:00:00"/>
        <d v="2017-11-29T00:00:00"/>
        <d v="2017-11-11T00:00:00"/>
        <d v="2017-11-08T00:00:00"/>
        <d v="2017-11-05T00:00:00"/>
        <d v="2017-11-07T00:00:00"/>
        <d v="2017-11-04T00:00:00"/>
        <d v="2017-11-02T00:00:00"/>
        <d v="2017-11-01T00:00:00"/>
        <d v="2017-10-31T00:00:00"/>
        <d v="2017-10-30T00:00:00"/>
        <d v="2017-10-28T00:00:00"/>
      </sharedItems>
      <fieldGroup par="20"/>
    </cacheField>
    <cacheField name="Delivery days" numFmtId="1">
      <sharedItems containsSemiMixedTypes="0" containsString="0" containsNumber="1" containsInteger="1" minValue="1" maxValue="10"/>
    </cacheField>
    <cacheField name="Date Expected" numFmtId="14">
      <sharedItems containsSemiMixedTypes="0" containsNonDate="0" containsDate="1" containsString="0" minDate="2017-10-31T00:00:00" maxDate="2018-01-15T00:00:00"/>
    </cacheField>
    <cacheField name="Origin Cuntry" numFmtId="0">
      <sharedItems count="7">
        <s v="Greece"/>
        <s v="Germany"/>
        <s v="Turkey"/>
        <s v="Egypt"/>
        <s v="France"/>
        <s v="Tunisia"/>
        <s v="US"/>
      </sharedItems>
    </cacheField>
    <cacheField name="Destination country" numFmtId="0">
      <sharedItems count="9">
        <s v="Spain"/>
        <s v="France"/>
        <s v="Albania"/>
        <s v="Tunisia"/>
        <s v="Turkey"/>
        <s v="Egypt"/>
        <s v="Greece"/>
        <s v="Germany"/>
        <s v="US"/>
      </sharedItems>
    </cacheField>
    <cacheField name="Order Status" numFmtId="0">
      <sharedItems count="3">
        <s v="Delivered"/>
        <s v="on way"/>
        <s v="rejected"/>
      </sharedItems>
    </cacheField>
    <cacheField name="Shipping cost" numFmtId="166">
      <sharedItems containsSemiMixedTypes="0" containsString="0" containsNumber="1" containsInteger="1" minValue="15" maxValue="93"/>
    </cacheField>
    <cacheField name="Field1" numFmtId="0" formula="'Delivery days'/3" databaseField="0"/>
    <cacheField name="Months (received date)" numFmtId="0" databaseField="0">
      <fieldGroup base="10">
        <rangePr groupBy="months" startDate="2017-10-28T00:00:00" endDate="2018-01-06T00:00:00"/>
        <groupItems count="14">
          <s v="&lt;28/10/2017"/>
          <s v="Jan"/>
          <s v="Feb"/>
          <s v="Mar"/>
          <s v="Apr"/>
          <s v="May"/>
          <s v="Jun"/>
          <s v="Jul"/>
          <s v="Aug"/>
          <s v="Sep"/>
          <s v="Oct"/>
          <s v="Nov"/>
          <s v="Dec"/>
          <s v="&gt;6/01/2018"/>
        </groupItems>
      </fieldGroup>
    </cacheField>
    <cacheField name="Quarters (received date)" numFmtId="0" databaseField="0">
      <fieldGroup base="10">
        <rangePr groupBy="quarters" startDate="2017-10-28T00:00:00" endDate="2018-01-06T00:00:00"/>
        <groupItems count="6">
          <s v="&lt;28/10/2017"/>
          <s v="Qtr1"/>
          <s v="Qtr2"/>
          <s v="Qtr3"/>
          <s v="Qtr4"/>
          <s v="&gt;6/01/2018"/>
        </groupItems>
      </fieldGroup>
    </cacheField>
    <cacheField name="Years (received date)" numFmtId="0" databaseField="0">
      <fieldGroup base="10">
        <rangePr groupBy="years" startDate="2017-10-28T00:00:00" endDate="2018-01-06T00:00:00"/>
        <groupItems count="4">
          <s v="&lt;28/10/2017"/>
          <s v="2017"/>
          <s v="2018"/>
          <s v="&gt;6/01/2018"/>
        </groupItems>
      </fieldGroup>
    </cacheField>
  </cacheFields>
  <extLst>
    <ext xmlns:x14="http://schemas.microsoft.com/office/spreadsheetml/2009/9/main" uri="{725AE2AE-9491-48be-B2B4-4EB974FC3084}">
      <x14:pivotCacheDefinition pivotCacheId="2118529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
  <r>
    <s v="325698"/>
    <x v="0"/>
    <s v="221111111"/>
    <s v="Shrouk Ashraf32@shipping.com.eg"/>
    <x v="0"/>
    <x v="0"/>
    <s v="633331"/>
    <x v="0"/>
    <x v="0"/>
    <n v="4"/>
    <x v="0"/>
    <n v="1"/>
    <d v="2018-01-06T00:00:00"/>
    <x v="0"/>
    <x v="0"/>
    <x v="0"/>
    <n v="52"/>
  </r>
  <r>
    <s v="978944"/>
    <x v="1"/>
    <s v="221111112"/>
    <s v="Abeer Essam97@shipping.com.eg"/>
    <x v="1"/>
    <x v="1"/>
    <s v="871676"/>
    <x v="1"/>
    <x v="1"/>
    <n v="6"/>
    <x v="1"/>
    <n v="10"/>
    <d v="2018-01-14T00:00:00"/>
    <x v="1"/>
    <x v="1"/>
    <x v="1"/>
    <n v="33"/>
  </r>
  <r>
    <s v="326698"/>
    <x v="2"/>
    <s v="221111113"/>
    <s v="Mariam Sayed32@shipping.com.eg"/>
    <x v="2"/>
    <x v="0"/>
    <s v="369239"/>
    <x v="2"/>
    <x v="2"/>
    <m/>
    <x v="2"/>
    <n v="3"/>
    <d v="2018-01-06T00:00:00"/>
    <x v="2"/>
    <x v="2"/>
    <x v="2"/>
    <n v="15"/>
  </r>
  <r>
    <s v="785432"/>
    <x v="3"/>
    <s v="221111114"/>
    <s v="Gehad Samy78@shipping.com.eg"/>
    <x v="2"/>
    <x v="0"/>
    <s v="690844"/>
    <x v="1"/>
    <x v="1"/>
    <n v="12"/>
    <x v="2"/>
    <n v="10"/>
    <d v="2018-01-13T00:00:00"/>
    <x v="3"/>
    <x v="3"/>
    <x v="0"/>
    <n v="45"/>
  </r>
  <r>
    <s v="578631"/>
    <x v="4"/>
    <s v="221111115"/>
    <s v="Gerges Maher57@shipping.com.eg"/>
    <x v="3"/>
    <x v="0"/>
    <s v="425299"/>
    <x v="2"/>
    <x v="0"/>
    <m/>
    <x v="2"/>
    <n v="1"/>
    <d v="2018-01-04T00:00:00"/>
    <x v="1"/>
    <x v="1"/>
    <x v="0"/>
    <n v="45"/>
  </r>
  <r>
    <s v="147424"/>
    <x v="5"/>
    <s v="221111116"/>
    <s v="Sherif Nagy14@shipping.com.eg"/>
    <x v="4"/>
    <x v="0"/>
    <s v="473665"/>
    <x v="0"/>
    <x v="2"/>
    <n v="16"/>
    <x v="3"/>
    <n v="3"/>
    <d v="2018-01-05T00:00:00"/>
    <x v="2"/>
    <x v="4"/>
    <x v="2"/>
    <n v="46"/>
  </r>
  <r>
    <s v="152689"/>
    <x v="6"/>
    <s v="221111117"/>
    <s v="Abdelrahman Adel15@shipping.com.eg"/>
    <x v="2"/>
    <x v="0"/>
    <s v="252449"/>
    <x v="1"/>
    <x v="0"/>
    <n v="20"/>
    <x v="3"/>
    <n v="1"/>
    <d v="2018-01-03T00:00:00"/>
    <x v="0"/>
    <x v="0"/>
    <x v="0"/>
    <n v="86"/>
  </r>
  <r>
    <s v="152689"/>
    <x v="6"/>
    <s v="221111117"/>
    <s v="Abdelrahman Adel15@shipping.com.eg"/>
    <x v="2"/>
    <x v="0"/>
    <s v="842561"/>
    <x v="1"/>
    <x v="2"/>
    <n v="4"/>
    <x v="4"/>
    <n v="3"/>
    <d v="2018-01-01T00:00:00"/>
    <x v="2"/>
    <x v="4"/>
    <x v="0"/>
    <n v="24"/>
  </r>
  <r>
    <s v="392541"/>
    <x v="7"/>
    <s v="221111118"/>
    <s v="Bishoy Ibrahim39@shipping.com.eg"/>
    <x v="2"/>
    <x v="0"/>
    <s v="196953"/>
    <x v="2"/>
    <x v="2"/>
    <m/>
    <x v="5"/>
    <n v="3"/>
    <d v="2018-01-04T00:00:00"/>
    <x v="2"/>
    <x v="4"/>
    <x v="2"/>
    <n v="15"/>
  </r>
  <r>
    <s v="985245"/>
    <x v="8"/>
    <s v="221111119"/>
    <s v="Kholoud Mamdouh98@shipping.com.eg"/>
    <x v="2"/>
    <x v="0"/>
    <s v="174067"/>
    <x v="1"/>
    <x v="0"/>
    <n v="19"/>
    <x v="5"/>
    <n v="1"/>
    <d v="2018-01-02T00:00:00"/>
    <x v="0"/>
    <x v="0"/>
    <x v="0"/>
    <n v="84"/>
  </r>
  <r>
    <s v="785532"/>
    <x v="9"/>
    <s v="221111120"/>
    <s v="Farha Gamal78@shipping.com.eg"/>
    <x v="2"/>
    <x v="0"/>
    <s v="670189"/>
    <x v="2"/>
    <x v="2"/>
    <m/>
    <x v="6"/>
    <n v="3"/>
    <d v="2018-01-02T00:00:00"/>
    <x v="2"/>
    <x v="4"/>
    <x v="0"/>
    <n v="15"/>
  </r>
  <r>
    <s v="324745"/>
    <x v="10"/>
    <s v="221111121"/>
    <s v="Mervat Mahmoud32@shipping.com.eg"/>
    <x v="2"/>
    <x v="0"/>
    <s v="414251"/>
    <x v="2"/>
    <x v="0"/>
    <m/>
    <x v="6"/>
    <n v="1"/>
    <d v="2017-12-31T00:00:00"/>
    <x v="1"/>
    <x v="1"/>
    <x v="0"/>
    <n v="45"/>
  </r>
  <r>
    <s v="392541"/>
    <x v="7"/>
    <s v="221111118"/>
    <s v="Bishoy Ibrahim39@shipping.com.eg"/>
    <x v="2"/>
    <x v="0"/>
    <s v="128273"/>
    <x v="0"/>
    <x v="2"/>
    <n v="20"/>
    <x v="6"/>
    <n v="3"/>
    <d v="2018-01-02T00:00:00"/>
    <x v="3"/>
    <x v="5"/>
    <x v="1"/>
    <n v="54"/>
  </r>
  <r>
    <s v="326698"/>
    <x v="2"/>
    <s v="221111113"/>
    <s v="Mariam Sayed32@shipping.com.eg"/>
    <x v="2"/>
    <x v="0"/>
    <s v="342085"/>
    <x v="2"/>
    <x v="2"/>
    <m/>
    <x v="7"/>
    <n v="3"/>
    <d v="2017-12-31T00:00:00"/>
    <x v="0"/>
    <x v="6"/>
    <x v="0"/>
    <n v="15"/>
  </r>
  <r>
    <s v="785432"/>
    <x v="3"/>
    <s v="221111114"/>
    <s v="Gehad Samy78@shipping.com.eg"/>
    <x v="2"/>
    <x v="0"/>
    <s v="512151"/>
    <x v="1"/>
    <x v="2"/>
    <n v="4"/>
    <x v="4"/>
    <n v="3"/>
    <d v="2018-01-01T00:00:00"/>
    <x v="2"/>
    <x v="4"/>
    <x v="2"/>
    <n v="24"/>
  </r>
  <r>
    <s v="578631"/>
    <x v="4"/>
    <s v="221111115"/>
    <s v="Gerges Maher57@shipping.com.eg"/>
    <x v="3"/>
    <x v="0"/>
    <s v="605022"/>
    <x v="0"/>
    <x v="0"/>
    <n v="23"/>
    <x v="4"/>
    <n v="1"/>
    <d v="2017-12-30T00:00:00"/>
    <x v="2"/>
    <x v="2"/>
    <x v="0"/>
    <n v="90"/>
  </r>
  <r>
    <s v="147424"/>
    <x v="5"/>
    <s v="221111116"/>
    <s v="Sherif Nagy14@shipping.com.eg"/>
    <x v="4"/>
    <x v="0"/>
    <s v="880643"/>
    <x v="2"/>
    <x v="2"/>
    <m/>
    <x v="7"/>
    <n v="3"/>
    <d v="2017-12-31T00:00:00"/>
    <x v="2"/>
    <x v="4"/>
    <x v="1"/>
    <n v="15"/>
  </r>
  <r>
    <s v="324745"/>
    <x v="10"/>
    <s v="221111121"/>
    <s v="Mervat Mahmoud32@shipping.com.eg"/>
    <x v="2"/>
    <x v="0"/>
    <s v="813357"/>
    <x v="1"/>
    <x v="2"/>
    <n v="36"/>
    <x v="8"/>
    <n v="3"/>
    <d v="2017-12-30T00:00:00"/>
    <x v="1"/>
    <x v="7"/>
    <x v="0"/>
    <n v="88"/>
  </r>
  <r>
    <s v="326698"/>
    <x v="2"/>
    <s v="221111113"/>
    <s v="Mariam Sayed32@shipping.com.eg"/>
    <x v="2"/>
    <x v="0"/>
    <s v="370020"/>
    <x v="0"/>
    <x v="2"/>
    <n v="20"/>
    <x v="9"/>
    <n v="3"/>
    <d v="2017-12-07T00:00:00"/>
    <x v="4"/>
    <x v="1"/>
    <x v="1"/>
    <n v="54"/>
  </r>
  <r>
    <s v="785432"/>
    <x v="3"/>
    <s v="221111114"/>
    <s v="Gehad Samy78@shipping.com.eg"/>
    <x v="2"/>
    <x v="0"/>
    <s v="661724"/>
    <x v="2"/>
    <x v="2"/>
    <m/>
    <x v="9"/>
    <n v="3"/>
    <d v="2017-12-07T00:00:00"/>
    <x v="4"/>
    <x v="1"/>
    <x v="0"/>
    <n v="15"/>
  </r>
  <r>
    <s v="152689"/>
    <x v="6"/>
    <s v="221111117"/>
    <s v="Abdelrahman Adel15@shipping.com.eg"/>
    <x v="2"/>
    <x v="0"/>
    <s v="329404"/>
    <x v="0"/>
    <x v="1"/>
    <n v="30"/>
    <x v="10"/>
    <n v="10"/>
    <d v="2017-12-12T00:00:00"/>
    <x v="3"/>
    <x v="8"/>
    <x v="1"/>
    <n v="79"/>
  </r>
  <r>
    <s v="392541"/>
    <x v="7"/>
    <s v="221111118"/>
    <s v="Bishoy Ibrahim39@shipping.com.eg"/>
    <x v="2"/>
    <x v="0"/>
    <s v="312503"/>
    <x v="0"/>
    <x v="1"/>
    <n v="30"/>
    <x v="10"/>
    <n v="10"/>
    <d v="2017-12-12T00:00:00"/>
    <x v="3"/>
    <x v="8"/>
    <x v="0"/>
    <n v="79"/>
  </r>
  <r>
    <s v="325698"/>
    <x v="0"/>
    <s v="221111111"/>
    <s v="Shrouk Ashraf32@shipping.com.eg"/>
    <x v="0"/>
    <x v="0"/>
    <s v="746462"/>
    <x v="0"/>
    <x v="0"/>
    <n v="16"/>
    <x v="11"/>
    <n v="1"/>
    <d v="2017-12-02T00:00:00"/>
    <x v="1"/>
    <x v="1"/>
    <x v="0"/>
    <n v="76"/>
  </r>
  <r>
    <s v="978944"/>
    <x v="1"/>
    <s v="221111112"/>
    <s v="Abeer Essam97@shipping.com.eg"/>
    <x v="1"/>
    <x v="1"/>
    <s v="670237"/>
    <x v="1"/>
    <x v="1"/>
    <n v="36"/>
    <x v="11"/>
    <n v="10"/>
    <d v="2017-12-11T00:00:00"/>
    <x v="3"/>
    <x v="8"/>
    <x v="0"/>
    <n v="93"/>
  </r>
  <r>
    <s v="324745"/>
    <x v="10"/>
    <s v="221111121"/>
    <s v="Mervat Mahmoud32@shipping.com.eg"/>
    <x v="2"/>
    <x v="0"/>
    <s v="621395"/>
    <x v="0"/>
    <x v="2"/>
    <n v="7"/>
    <x v="10"/>
    <n v="3"/>
    <d v="2017-12-05T00:00:00"/>
    <x v="4"/>
    <x v="1"/>
    <x v="0"/>
    <n v="28"/>
  </r>
  <r>
    <s v="152689"/>
    <x v="6"/>
    <s v="221111117"/>
    <s v="Abdelrahman Adel15@shipping.com.eg"/>
    <x v="2"/>
    <x v="0"/>
    <s v="974004"/>
    <x v="0"/>
    <x v="1"/>
    <n v="20"/>
    <x v="12"/>
    <n v="10"/>
    <d v="2017-12-10T00:00:00"/>
    <x v="3"/>
    <x v="8"/>
    <x v="0"/>
    <n v="59"/>
  </r>
  <r>
    <s v="392541"/>
    <x v="7"/>
    <s v="221111118"/>
    <s v="Bishoy Ibrahim39@shipping.com.eg"/>
    <x v="2"/>
    <x v="0"/>
    <s v="378960"/>
    <x v="2"/>
    <x v="0"/>
    <m/>
    <x v="12"/>
    <n v="1"/>
    <d v="2017-12-01T00:00:00"/>
    <x v="0"/>
    <x v="0"/>
    <x v="0"/>
    <n v="45"/>
  </r>
  <r>
    <s v="985245"/>
    <x v="8"/>
    <s v="221111119"/>
    <s v="Kholoud Mamdouh98@shipping.com.eg"/>
    <x v="2"/>
    <x v="0"/>
    <s v="530416"/>
    <x v="0"/>
    <x v="1"/>
    <n v="7"/>
    <x v="11"/>
    <n v="10"/>
    <d v="2017-12-11T00:00:00"/>
    <x v="3"/>
    <x v="8"/>
    <x v="0"/>
    <n v="33"/>
  </r>
  <r>
    <s v="785532"/>
    <x v="9"/>
    <s v="221111120"/>
    <s v="Farha Gamal78@shipping.com.eg"/>
    <x v="2"/>
    <x v="0"/>
    <s v="251025"/>
    <x v="2"/>
    <x v="0"/>
    <m/>
    <x v="13"/>
    <n v="1"/>
    <d v="2017-11-30T00:00:00"/>
    <x v="0"/>
    <x v="0"/>
    <x v="0"/>
    <n v="45"/>
  </r>
  <r>
    <s v="326698"/>
    <x v="2"/>
    <s v="221111113"/>
    <s v="Mariam Sayed32@shipping.com.eg"/>
    <x v="2"/>
    <x v="0"/>
    <s v="886101"/>
    <x v="1"/>
    <x v="1"/>
    <n v="7"/>
    <x v="11"/>
    <n v="10"/>
    <d v="2017-12-11T00:00:00"/>
    <x v="3"/>
    <x v="3"/>
    <x v="0"/>
    <n v="35"/>
  </r>
  <r>
    <s v="785432"/>
    <x v="3"/>
    <s v="221111114"/>
    <s v="Gehad Samy78@shipping.com.eg"/>
    <x v="2"/>
    <x v="0"/>
    <s v="549314"/>
    <x v="0"/>
    <x v="1"/>
    <n v="30"/>
    <x v="14"/>
    <n v="10"/>
    <d v="2017-11-21T00:00:00"/>
    <x v="3"/>
    <x v="3"/>
    <x v="1"/>
    <n v="79"/>
  </r>
  <r>
    <s v="985245"/>
    <x v="8"/>
    <s v="221111119"/>
    <s v="Kholoud Mamdouh98@shipping.com.eg"/>
    <x v="2"/>
    <x v="0"/>
    <s v="163017"/>
    <x v="2"/>
    <x v="0"/>
    <m/>
    <x v="15"/>
    <n v="1"/>
    <d v="2017-11-09T00:00:00"/>
    <x v="0"/>
    <x v="0"/>
    <x v="0"/>
    <n v="45"/>
  </r>
  <r>
    <s v="785532"/>
    <x v="9"/>
    <s v="221111120"/>
    <s v="Farha Gamal78@shipping.com.eg"/>
    <x v="2"/>
    <x v="0"/>
    <s v="891248"/>
    <x v="1"/>
    <x v="0"/>
    <n v="4"/>
    <x v="15"/>
    <n v="1"/>
    <d v="2017-11-09T00:00:00"/>
    <x v="5"/>
    <x v="5"/>
    <x v="0"/>
    <n v="54"/>
  </r>
  <r>
    <s v="324745"/>
    <x v="10"/>
    <s v="221111121"/>
    <s v="Mervat Mahmoud32@shipping.com.eg"/>
    <x v="2"/>
    <x v="0"/>
    <s v="899519"/>
    <x v="1"/>
    <x v="0"/>
    <n v="20"/>
    <x v="16"/>
    <n v="1"/>
    <d v="2017-11-06T00:00:00"/>
    <x v="5"/>
    <x v="5"/>
    <x v="0"/>
    <n v="86"/>
  </r>
  <r>
    <s v="326698"/>
    <x v="2"/>
    <s v="221111113"/>
    <s v="Mariam Sayed32@shipping.com.eg"/>
    <x v="2"/>
    <x v="0"/>
    <s v="967149"/>
    <x v="2"/>
    <x v="0"/>
    <m/>
    <x v="17"/>
    <n v="1"/>
    <d v="2017-11-08T00:00:00"/>
    <x v="1"/>
    <x v="1"/>
    <x v="0"/>
    <n v="45"/>
  </r>
  <r>
    <s v="785432"/>
    <x v="3"/>
    <s v="221111114"/>
    <s v="Gehad Samy78@shipping.com.eg"/>
    <x v="2"/>
    <x v="0"/>
    <s v="767274"/>
    <x v="1"/>
    <x v="1"/>
    <n v="16"/>
    <x v="16"/>
    <n v="10"/>
    <d v="2017-11-15T00:00:00"/>
    <x v="3"/>
    <x v="7"/>
    <x v="0"/>
    <n v="53"/>
  </r>
  <r>
    <s v="324745"/>
    <x v="10"/>
    <s v="221111121"/>
    <s v="Mervat Mahmoud32@shipping.com.eg"/>
    <x v="2"/>
    <x v="0"/>
    <s v="779415"/>
    <x v="2"/>
    <x v="1"/>
    <m/>
    <x v="16"/>
    <n v="10"/>
    <d v="2017-11-15T00:00:00"/>
    <x v="3"/>
    <x v="8"/>
    <x v="1"/>
    <n v="20"/>
  </r>
  <r>
    <s v="325698"/>
    <x v="0"/>
    <s v="221111111"/>
    <s v="Shrouk Ashraf32@shipping.com.eg"/>
    <x v="0"/>
    <x v="0"/>
    <s v="903575"/>
    <x v="0"/>
    <x v="2"/>
    <n v="30"/>
    <x v="18"/>
    <n v="3"/>
    <d v="2017-11-07T00:00:00"/>
    <x v="4"/>
    <x v="1"/>
    <x v="2"/>
    <n v="74"/>
  </r>
  <r>
    <s v="978944"/>
    <x v="1"/>
    <s v="221111112"/>
    <s v="Abeer Essam97@shipping.com.eg"/>
    <x v="1"/>
    <x v="1"/>
    <s v="506637"/>
    <x v="0"/>
    <x v="1"/>
    <n v="7"/>
    <x v="19"/>
    <n v="10"/>
    <d v="2017-11-12T00:00:00"/>
    <x v="3"/>
    <x v="7"/>
    <x v="0"/>
    <n v="33"/>
  </r>
  <r>
    <s v="578631"/>
    <x v="4"/>
    <s v="221111115"/>
    <s v="Gerges Maher57@shipping.com.eg"/>
    <x v="3"/>
    <x v="0"/>
    <s v="120946"/>
    <x v="2"/>
    <x v="1"/>
    <m/>
    <x v="19"/>
    <n v="10"/>
    <d v="2017-11-12T00:00:00"/>
    <x v="3"/>
    <x v="8"/>
    <x v="1"/>
    <n v="20"/>
  </r>
  <r>
    <s v="147424"/>
    <x v="5"/>
    <s v="221111116"/>
    <s v="Sherif Nagy14@shipping.com.eg"/>
    <x v="4"/>
    <x v="0"/>
    <s v="930934"/>
    <x v="0"/>
    <x v="2"/>
    <n v="7"/>
    <x v="19"/>
    <n v="3"/>
    <d v="2017-11-05T00:00:00"/>
    <x v="0"/>
    <x v="6"/>
    <x v="0"/>
    <n v="28"/>
  </r>
  <r>
    <s v="324745"/>
    <x v="10"/>
    <s v="221111121"/>
    <s v="Mervat Mahmoud32@shipping.com.eg"/>
    <x v="2"/>
    <x v="0"/>
    <s v="749930"/>
    <x v="2"/>
    <x v="2"/>
    <m/>
    <x v="19"/>
    <n v="3"/>
    <d v="2017-11-05T00:00:00"/>
    <x v="3"/>
    <x v="5"/>
    <x v="0"/>
    <n v="15"/>
  </r>
  <r>
    <s v="326698"/>
    <x v="2"/>
    <s v="221111113"/>
    <s v="Mariam Sayed32@shipping.com.eg"/>
    <x v="2"/>
    <x v="0"/>
    <s v="703382"/>
    <x v="1"/>
    <x v="2"/>
    <n v="20"/>
    <x v="19"/>
    <n v="3"/>
    <d v="2017-11-05T00:00:00"/>
    <x v="3"/>
    <x v="5"/>
    <x v="1"/>
    <n v="56"/>
  </r>
  <r>
    <s v="785432"/>
    <x v="3"/>
    <s v="221111114"/>
    <s v="Gehad Samy78@shipping.com.eg"/>
    <x v="2"/>
    <x v="0"/>
    <s v="329723"/>
    <x v="1"/>
    <x v="2"/>
    <n v="4"/>
    <x v="20"/>
    <n v="3"/>
    <d v="2017-11-04T00:00:00"/>
    <x v="1"/>
    <x v="7"/>
    <x v="0"/>
    <n v="24"/>
  </r>
  <r>
    <s v="324745"/>
    <x v="10"/>
    <s v="221111121"/>
    <s v="Mervat Mahmoud32@shipping.com.eg"/>
    <x v="2"/>
    <x v="0"/>
    <s v="424746"/>
    <x v="0"/>
    <x v="2"/>
    <n v="23"/>
    <x v="21"/>
    <n v="3"/>
    <d v="2017-11-03T00:00:00"/>
    <x v="3"/>
    <x v="5"/>
    <x v="2"/>
    <n v="60"/>
  </r>
  <r>
    <s v="325698"/>
    <x v="0"/>
    <s v="221111111"/>
    <s v="Shrouk Ashraf32@shipping.com.eg"/>
    <x v="0"/>
    <x v="0"/>
    <s v="556885"/>
    <x v="2"/>
    <x v="1"/>
    <m/>
    <x v="20"/>
    <n v="10"/>
    <d v="2017-11-11T00:00:00"/>
    <x v="3"/>
    <x v="7"/>
    <x v="1"/>
    <n v="20"/>
  </r>
  <r>
    <s v="978944"/>
    <x v="1"/>
    <s v="221111112"/>
    <s v="Abeer Essam97@shipping.com.eg"/>
    <x v="1"/>
    <x v="1"/>
    <s v="663009"/>
    <x v="1"/>
    <x v="1"/>
    <n v="16"/>
    <x v="20"/>
    <n v="10"/>
    <d v="2017-11-11T00:00:00"/>
    <x v="3"/>
    <x v="7"/>
    <x v="0"/>
    <n v="53"/>
  </r>
  <r>
    <s v="324745"/>
    <x v="10"/>
    <s v="221111121"/>
    <s v="Mervat Mahmoud32@shipping.com.eg"/>
    <x v="2"/>
    <x v="0"/>
    <s v="634507"/>
    <x v="0"/>
    <x v="2"/>
    <n v="23"/>
    <x v="20"/>
    <n v="3"/>
    <d v="2017-11-04T00:00:00"/>
    <x v="6"/>
    <x v="8"/>
    <x v="1"/>
    <n v="60"/>
  </r>
  <r>
    <s v="326698"/>
    <x v="2"/>
    <s v="221111113"/>
    <s v="Mariam Sayed32@shipping.com.eg"/>
    <x v="2"/>
    <x v="0"/>
    <s v="247112"/>
    <x v="2"/>
    <x v="2"/>
    <m/>
    <x v="21"/>
    <n v="3"/>
    <d v="2017-11-03T00:00:00"/>
    <x v="0"/>
    <x v="6"/>
    <x v="0"/>
    <n v="15"/>
  </r>
  <r>
    <s v="785432"/>
    <x v="3"/>
    <s v="221111114"/>
    <s v="Gehad Samy78@shipping.com.eg"/>
    <x v="2"/>
    <x v="0"/>
    <s v="135896"/>
    <x v="1"/>
    <x v="2"/>
    <n v="16"/>
    <x v="22"/>
    <n v="3"/>
    <d v="2017-11-02T00:00:00"/>
    <x v="1"/>
    <x v="7"/>
    <x v="1"/>
    <n v="48"/>
  </r>
  <r>
    <s v="985245"/>
    <x v="8"/>
    <s v="221111119"/>
    <s v="Kholoud Mamdouh98@shipping.com.eg"/>
    <x v="2"/>
    <x v="0"/>
    <s v="161633"/>
    <x v="0"/>
    <x v="2"/>
    <n v="23"/>
    <x v="21"/>
    <n v="3"/>
    <d v="2017-11-03T00:00:00"/>
    <x v="3"/>
    <x v="5"/>
    <x v="0"/>
    <n v="60"/>
  </r>
  <r>
    <s v="785532"/>
    <x v="9"/>
    <s v="221111120"/>
    <s v="Farha Gamal78@shipping.com.eg"/>
    <x v="2"/>
    <x v="0"/>
    <s v="395060"/>
    <x v="2"/>
    <x v="2"/>
    <m/>
    <x v="23"/>
    <n v="3"/>
    <d v="2017-10-31T00:00:00"/>
    <x v="6"/>
    <x v="8"/>
    <x v="2"/>
    <n v="15"/>
  </r>
  <r>
    <s v="325698"/>
    <x v="0"/>
    <s v="221111111"/>
    <s v="Shrouk Ashraf32@shipping.com.eg"/>
    <x v="0"/>
    <x v="0"/>
    <s v="798935"/>
    <x v="0"/>
    <x v="2"/>
    <n v="16"/>
    <x v="23"/>
    <n v="3"/>
    <d v="2017-10-31T00:00:00"/>
    <x v="0"/>
    <x v="6"/>
    <x v="2"/>
    <n v="46"/>
  </r>
  <r>
    <s v="978944"/>
    <x v="1"/>
    <s v="221111112"/>
    <s v="Abeer Essam97@shipping.com.eg"/>
    <x v="1"/>
    <x v="1"/>
    <s v="891332"/>
    <x v="0"/>
    <x v="2"/>
    <n v="30"/>
    <x v="23"/>
    <n v="3"/>
    <d v="2017-10-31T00:00:00"/>
    <x v="6"/>
    <x v="8"/>
    <x v="0"/>
    <n v="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F21476-F590-4CA7-AF39-DFD6D12BD207}" name="PivotTable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Type Of Goods">
  <location ref="D19:E23" firstHeaderRow="1" firstDataRow="1" firstDataCol="1"/>
  <pivotFields count="21">
    <pivotField showAll="0"/>
    <pivotField showAll="0"/>
    <pivotField showAll="0"/>
    <pivotField showAll="0"/>
    <pivotField showAll="0"/>
    <pivotField showAll="0">
      <items count="3">
        <item x="0"/>
        <item x="1"/>
        <item t="default"/>
      </items>
    </pivotField>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7"/>
  </rowFields>
  <rowItems count="4">
    <i>
      <x v="1"/>
    </i>
    <i>
      <x/>
    </i>
    <i>
      <x v="2"/>
    </i>
    <i t="grand">
      <x/>
    </i>
  </rowItems>
  <colItems count="1">
    <i/>
  </colItems>
  <dataFields count="1">
    <dataField name="Total Shipping cost" fld="16" baseField="7" baseItem="2"/>
  </dataFields>
  <formats count="5">
    <format dxfId="8">
      <pivotArea dataOnly="0" labelOnly="1" grandRow="1" outline="0" fieldPosition="0"/>
    </format>
    <format dxfId="7">
      <pivotArea field="7" type="button" dataOnly="0" labelOnly="1" outline="0" axis="axisRow" fieldPosition="0"/>
    </format>
    <format dxfId="6">
      <pivotArea dataOnly="0" labelOnly="1" outline="0" axis="axisValues" fieldPosition="0"/>
    </format>
    <format dxfId="5">
      <pivotArea grandRow="1" outline="0" collapsedLevelsAreSubtotals="1" fieldPosition="0"/>
    </format>
    <format dxfId="4">
      <pivotArea collapsedLevelsAreSubtotals="1" fieldPosition="0">
        <references count="1">
          <reference field="7" count="0"/>
        </references>
      </pivotArea>
    </format>
  </formats>
  <conditionalFormats count="1">
    <conditionalFormat priority="9">
      <pivotAreas count="1">
        <pivotArea type="data" collapsedLevelsAreSubtotals="1" fieldPosition="0">
          <references count="2">
            <reference field="4294967294" count="1" selected="0">
              <x v="0"/>
            </reference>
            <reference field="7" count="3">
              <x v="0"/>
              <x v="1"/>
              <x v="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2F284-AC1B-4A8B-B9BD-BD1F007F49A7}" name="PivotTable1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Destination Country">
  <location ref="G28:H38" firstHeaderRow="1" firstDataRow="1" firstDataCol="1"/>
  <pivotFields count="21">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dataField="1" showAll="0"/>
    <pivotField numFmtId="14" showAll="0"/>
    <pivotField showAll="0"/>
    <pivotField axis="axisRow" showAll="0" sortType="descending">
      <items count="10">
        <item x="2"/>
        <item x="5"/>
        <item x="1"/>
        <item x="7"/>
        <item x="6"/>
        <item x="0"/>
        <item x="3"/>
        <item x="4"/>
        <item x="8"/>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4"/>
  </rowFields>
  <rowItems count="10">
    <i>
      <x v="6"/>
    </i>
    <i>
      <x v="8"/>
    </i>
    <i>
      <x v="3"/>
    </i>
    <i>
      <x v="7"/>
    </i>
    <i>
      <x v="4"/>
    </i>
    <i>
      <x v="2"/>
    </i>
    <i>
      <x v="1"/>
    </i>
    <i>
      <x/>
    </i>
    <i>
      <x v="5"/>
    </i>
    <i t="grand">
      <x/>
    </i>
  </rowItems>
  <colItems count="1">
    <i/>
  </colItems>
  <dataFields count="1">
    <dataField name="Average of Delivery days" fld="11" subtotal="average" baseField="14" baseItem="6"/>
  </dataFields>
  <formats count="9">
    <format dxfId="17">
      <pivotArea dataOnly="0" labelOnly="1" outline="0" axis="axisValues" fieldPosition="0"/>
    </format>
    <format dxfId="16">
      <pivotArea field="14" type="button" dataOnly="0" labelOnly="1" outline="0" axis="axisRow" fieldPosition="0"/>
    </format>
    <format dxfId="15">
      <pivotArea grandRow="1" outline="0" collapsedLevelsAreSubtotals="1" fieldPosition="0"/>
    </format>
    <format dxfId="14">
      <pivotArea dataOnly="0" labelOnly="1" grandRow="1" outline="0" fieldPosition="0"/>
    </format>
    <format dxfId="13">
      <pivotArea grandRow="1" outline="0" collapsedLevelsAreSubtotals="1" fieldPosition="0"/>
    </format>
    <format dxfId="12">
      <pivotArea collapsedLevelsAreSubtotals="1" fieldPosition="0">
        <references count="1">
          <reference field="14" count="1">
            <x v="1"/>
          </reference>
        </references>
      </pivotArea>
    </format>
    <format dxfId="11">
      <pivotArea collapsedLevelsAreSubtotals="1" fieldPosition="0">
        <references count="1">
          <reference field="14" count="1">
            <x v="2"/>
          </reference>
        </references>
      </pivotArea>
    </format>
    <format dxfId="10">
      <pivotArea collapsedLevelsAreSubtotals="1" fieldPosition="0">
        <references count="1">
          <reference field="14" count="5">
            <x v="3"/>
            <x v="4"/>
            <x v="6"/>
            <x v="7"/>
            <x v="8"/>
          </reference>
        </references>
      </pivotArea>
    </format>
    <format dxfId="9">
      <pivotArea collapsedLevelsAreSubtotals="1" fieldPosition="0">
        <references count="1">
          <reference field="14" count="2">
            <x v="0"/>
            <x v="5"/>
          </reference>
        </references>
      </pivotArea>
    </format>
  </formats>
  <conditionalFormats count="1">
    <conditionalFormat priority="5">
      <pivotAreas count="1">
        <pivotArea type="data" collapsedLevelsAreSubtotals="1" fieldPosition="0">
          <references count="2">
            <reference field="4294967294" count="1" selected="0">
              <x v="0"/>
            </reference>
            <reference field="14" count="9">
              <x v="0"/>
              <x v="1"/>
              <x v="2"/>
              <x v="3"/>
              <x v="4"/>
              <x v="5"/>
              <x v="6"/>
              <x v="7"/>
              <x v="8"/>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250098-B252-407C-8665-065F03B18F92}"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C11" firstHeaderRow="0" firstDataRow="1" firstDataCol="0"/>
  <pivotFields count="21">
    <pivotField dataField="1"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dataField="1" showAll="0"/>
    <pivotField numFmtId="14" showAll="0"/>
    <pivotField showAll="0"/>
    <pivotField showAll="0">
      <items count="10">
        <item x="2"/>
        <item x="5"/>
        <item x="1"/>
        <item x="7"/>
        <item x="6"/>
        <item x="0"/>
        <item x="3"/>
        <item x="4"/>
        <item x="8"/>
        <item t="default"/>
      </items>
    </pivotField>
    <pivotField showAll="0"/>
    <pivotField dataField="1"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Items count="1">
    <i/>
  </rowItems>
  <colFields count="1">
    <field x="-2"/>
  </colFields>
  <colItems count="3">
    <i>
      <x/>
    </i>
    <i i="1">
      <x v="1"/>
    </i>
    <i i="2">
      <x v="2"/>
    </i>
  </colItems>
  <dataFields count="3">
    <dataField name="Total Orders" fld="0" subtotal="count" baseField="0" baseItem="0"/>
    <dataField name="Total Shipping Cost" fld="16" baseField="0" baseItem="1" numFmtId="167"/>
    <dataField name="Average Delivery days" fld="11" subtotal="average" baseField="0" baseItem="2" numFmtId="164"/>
  </dataFields>
  <formats count="4">
    <format dxfId="21">
      <pivotArea outline="0" collapsedLevelsAreSubtotals="1" fieldPosition="0">
        <references count="1">
          <reference field="4294967294" count="1" selected="0">
            <x v="2"/>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3">
            <x v="0"/>
            <x v="1"/>
            <x v="2"/>
          </reference>
        </references>
      </pivotArea>
    </format>
    <format dxfId="1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41BDCE-B447-4537-9D12-A0910D6E0619}" name="PivotTable3"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Highest Paying Customer">
  <location ref="I10:J11" firstHeaderRow="1" firstDataRow="1" firstDataCol="1"/>
  <pivotFields count="21">
    <pivotField dataField="1" showAll="0" defaultSubtotal="0"/>
    <pivotField axis="axisRow" showAll="0" measureFilter="1" defaultSubtotal="0">
      <items count="11">
        <item x="6"/>
        <item x="1"/>
        <item x="7"/>
        <item x="9"/>
        <item x="3"/>
        <item x="4"/>
        <item x="8"/>
        <item x="2"/>
        <item x="10"/>
        <item x="5"/>
        <item x="0"/>
      </items>
    </pivotField>
    <pivotField showAll="0" defaultSubtotal="0"/>
    <pivotField showAll="0" defaultSubtotal="0"/>
    <pivotField showAll="0" defaultSubtotal="0"/>
    <pivotField showAll="0" defaultSubtotal="0">
      <items count="2">
        <item x="0"/>
        <item x="1"/>
      </items>
    </pivotField>
    <pivotField showAll="0" defaultSubtotal="0"/>
    <pivotField showAll="0" defaultSubtotal="0"/>
    <pivotField showAll="0" defaultSubtotal="0">
      <items count="3">
        <item x="0"/>
        <item x="1"/>
        <item x="2"/>
      </items>
    </pivotField>
    <pivotField showAll="0" defaultSubtotal="0"/>
    <pivotField numFmtId="14" showAll="0" defaultSubtotal="0">
      <items count="24">
        <item x="23"/>
        <item x="22"/>
        <item x="21"/>
        <item x="20"/>
        <item x="19"/>
        <item x="18"/>
        <item x="16"/>
        <item x="17"/>
        <item x="15"/>
        <item x="14"/>
        <item x="13"/>
        <item x="12"/>
        <item x="11"/>
        <item x="10"/>
        <item x="9"/>
        <item x="8"/>
        <item x="7"/>
        <item x="4"/>
        <item x="6"/>
        <item x="5"/>
        <item x="3"/>
        <item x="2"/>
        <item x="1"/>
        <item x="0"/>
      </items>
    </pivotField>
    <pivotField showAll="0" defaultSubtotal="0"/>
    <pivotField numFmtId="14" showAll="0" defaultSubtotal="0"/>
    <pivotField subtotalTop="0" showAll="0" defaultSubtotal="0"/>
    <pivotField subtotalTop="0" showAll="0" defaultSubtotal="0">
      <items count="9">
        <item x="2"/>
        <item x="5"/>
        <item x="1"/>
        <item x="7"/>
        <item x="6"/>
        <item x="0"/>
        <item x="3"/>
        <item x="4"/>
        <item x="8"/>
      </items>
    </pivotField>
    <pivotField showAll="0" defaultSubtotal="0"/>
    <pivotField showAll="0" defaultSubtotal="0"/>
    <pivotField subtotalTop="0" dragToRow="0" dragToCol="0" dragToPage="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1"/>
        <item x="2"/>
        <item x="3"/>
        <item x="4"/>
        <item x="0"/>
        <item x="5"/>
      </items>
    </pivotField>
    <pivotField subtotalTop="0" showAll="0" defaultSubtotal="0">
      <items count="4">
        <item x="1"/>
        <item x="2"/>
        <item x="0"/>
        <item x="3"/>
      </items>
    </pivotField>
  </pivotFields>
  <rowFields count="1">
    <field x="1"/>
  </rowFields>
  <rowItems count="1">
    <i>
      <x v="8"/>
    </i>
  </rowItems>
  <colItems count="1">
    <i/>
  </colItems>
  <dataFields count="1">
    <dataField name="#Orders" fld="0" subtotal="count" baseField="1" baseItem="0"/>
  </dataFields>
  <formats count="4">
    <format dxfId="25">
      <pivotArea field="1" type="button" dataOnly="0" labelOnly="1" outline="0" axis="axisRow" fieldPosition="0"/>
    </format>
    <format dxfId="24">
      <pivotArea dataOnly="0" labelOnly="1" outline="0" axis="axisValues" fieldPosition="0"/>
    </format>
    <format dxfId="23">
      <pivotArea field="1" type="button" dataOnly="0" labelOnly="1" outline="0" axis="axisRow" fieldPosition="0"/>
    </format>
    <format dxfId="22">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67E7A-A8D0-4981-AAEE-AD1176FA7E12}" name="PivotTable10"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Address">
  <location ref="G19:H25" firstHeaderRow="1" firstDataRow="1" firstDataCol="1"/>
  <pivotFields count="21">
    <pivotField dataField="1" showAll="0"/>
    <pivotField showAll="0"/>
    <pivotField showAll="0"/>
    <pivotField showAll="0"/>
    <pivotField axis="axisRow" showAll="0" sortType="descending">
      <items count="6">
        <item x="2"/>
        <item x="3"/>
        <item x="1"/>
        <item x="0"/>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4"/>
  </rowFields>
  <rowItems count="6">
    <i>
      <x/>
    </i>
    <i>
      <x v="3"/>
    </i>
    <i>
      <x v="2"/>
    </i>
    <i>
      <x v="4"/>
    </i>
    <i>
      <x v="1"/>
    </i>
    <i t="grand">
      <x/>
    </i>
  </rowItems>
  <colItems count="1">
    <i/>
  </colItems>
  <dataFields count="1">
    <dataField name="Number Of Oredrs" fld="0" subtotal="count" baseField="0" baseItem="0"/>
  </dataFields>
  <formats count="4">
    <format dxfId="29">
      <pivotArea field="4"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s>
  <conditionalFormats count="3">
    <conditionalFormat priority="8">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 priority="7">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 priority="6">
      <pivotAreas count="1">
        <pivotArea type="data" collapsedLevelsAreSubtotals="1" fieldPosition="0">
          <references count="2">
            <reference field="4294967294" count="1" selected="0">
              <x v="0"/>
            </reference>
            <reference field="4" count="5">
              <x v="0"/>
              <x v="1"/>
              <x v="2"/>
              <x v="3"/>
              <x v="4"/>
            </reference>
          </references>
        </pivotArea>
      </pivotAreas>
    </conditionalFormat>
  </conditional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4" count="1" selected="0">
            <x v="0"/>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2" format="15">
      <pivotArea type="data" outline="0" fieldPosition="0">
        <references count="2">
          <reference field="4294967294" count="1" selected="0">
            <x v="0"/>
          </reference>
          <reference field="4" count="1" selected="0">
            <x v="2"/>
          </reference>
        </references>
      </pivotArea>
    </chartFormat>
    <chartFormat chart="2" format="16">
      <pivotArea type="data" outline="0" fieldPosition="0">
        <references count="2">
          <reference field="4294967294" count="1" selected="0">
            <x v="0"/>
          </reference>
          <reference field="4" count="1" selected="0">
            <x v="4"/>
          </reference>
        </references>
      </pivotArea>
    </chartFormat>
    <chartFormat chart="2" format="1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766ABF-3E91-4E29-8276-21357D95180A}"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Order Status">
  <location ref="F10:G14" firstHeaderRow="1" firstDataRow="1" firstDataCol="1"/>
  <pivotFields count="21">
    <pivotField dataField="1"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axis="axisRow" showAll="0">
      <items count="4">
        <item x="0"/>
        <item x="1"/>
        <item x="2"/>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5"/>
  </rowFields>
  <rowItems count="4">
    <i>
      <x/>
    </i>
    <i>
      <x v="1"/>
    </i>
    <i>
      <x v="2"/>
    </i>
    <i t="grand">
      <x/>
    </i>
  </rowItems>
  <colItems count="1">
    <i/>
  </colItems>
  <dataFields count="1">
    <dataField name="Rate of order Status" fld="0" subtotal="count" showDataAs="percentOfTotal" baseField="0" baseItem="0" numFmtId="165"/>
  </dataFields>
  <formats count="8">
    <format dxfId="37">
      <pivotArea outline="0" collapsedLevelsAreSubtotals="1" fieldPosition="0"/>
    </format>
    <format dxfId="36">
      <pivotArea collapsedLevelsAreSubtotals="1" fieldPosition="0">
        <references count="1">
          <reference field="15" count="1">
            <x v="0"/>
          </reference>
        </references>
      </pivotArea>
    </format>
    <format dxfId="35">
      <pivotArea field="15" type="button" dataOnly="0" labelOnly="1" outline="0" axis="axisRow" fieldPosition="0"/>
    </format>
    <format dxfId="34">
      <pivotArea dataOnly="0" labelOnly="1" outline="0" axis="axisValues" fieldPosition="0"/>
    </format>
    <format dxfId="33">
      <pivotArea field="15" type="button" dataOnly="0" labelOnly="1" outline="0" axis="axisRow" fieldPosition="0"/>
    </format>
    <format dxfId="32">
      <pivotArea dataOnly="0" labelOnly="1" outline="0" axis="axisValues" fieldPosition="0"/>
    </format>
    <format dxfId="31">
      <pivotArea dataOnly="0" labelOnly="1" grandRow="1" outline="0" fieldPosition="0"/>
    </format>
    <format dxfId="3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5BD0CE-FB1A-4F80-9A74-1D5231D7A805}" name="PivotTable1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Date Expected By Month">
  <location ref="D28:E33" firstHeaderRow="1" firstDataRow="1" firstDataCol="1"/>
  <pivotFields count="21">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axis="axisRow"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showAll="0"/>
    <pivotField dataField="1"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1"/>
        <item sd="0" x="2"/>
        <item x="0"/>
        <item x="3"/>
        <item t="default"/>
      </items>
    </pivotField>
  </pivotFields>
  <rowFields count="2">
    <field x="18"/>
    <field x="10"/>
  </rowFields>
  <rowItems count="5">
    <i>
      <x v="1"/>
    </i>
    <i>
      <x v="10"/>
    </i>
    <i>
      <x v="11"/>
    </i>
    <i>
      <x v="12"/>
    </i>
    <i t="grand">
      <x/>
    </i>
  </rowItems>
  <colItems count="1">
    <i/>
  </colItems>
  <dataFields count="1">
    <dataField name="Total Shipping cost" fld="16" baseField="18" baseItem="1"/>
  </dataFields>
  <formats count="8">
    <format dxfId="45">
      <pivotArea grandRow="1" outline="0" collapsedLevelsAreSubtotals="1" fieldPosition="0"/>
    </format>
    <format dxfId="44">
      <pivotArea dataOnly="0" labelOnly="1" outline="0" axis="axisValues" fieldPosition="0"/>
    </format>
    <format dxfId="43">
      <pivotArea field="18" type="button" dataOnly="0" labelOnly="1" outline="0" axis="axisRow" fieldPosition="0"/>
    </format>
    <format dxfId="42">
      <pivotArea dataOnly="0" labelOnly="1" grandRow="1" outline="0" fieldPosition="0"/>
    </format>
    <format dxfId="41">
      <pivotArea collapsedLevelsAreSubtotals="1" fieldPosition="0">
        <references count="1">
          <reference field="18" count="1">
            <x v="1"/>
          </reference>
        </references>
      </pivotArea>
    </format>
    <format dxfId="40">
      <pivotArea collapsedLevelsAreSubtotals="1" fieldPosition="0">
        <references count="1">
          <reference field="18" count="1">
            <x v="10"/>
          </reference>
        </references>
      </pivotArea>
    </format>
    <format dxfId="39">
      <pivotArea collapsedLevelsAreSubtotals="1" fieldPosition="0">
        <references count="1">
          <reference field="18" count="1">
            <x v="11"/>
          </reference>
        </references>
      </pivotArea>
    </format>
    <format dxfId="38">
      <pivotArea collapsedLevelsAreSubtotals="1" fieldPosition="0">
        <references count="1">
          <reference field="18" count="1">
            <x v="12"/>
          </reference>
        </references>
      </pivotArea>
    </format>
  </formats>
  <conditionalFormats count="1">
    <conditionalFormat priority="4">
      <pivotAreas count="4">
        <pivotArea type="data" collapsedLevelsAreSubtotals="1" fieldPosition="0">
          <references count="2">
            <reference field="4294967294" count="1" selected="0">
              <x v="0"/>
            </reference>
            <reference field="18" count="1">
              <x v="1"/>
            </reference>
          </references>
        </pivotArea>
        <pivotArea type="data" collapsedLevelsAreSubtotals="1" fieldPosition="0">
          <references count="2">
            <reference field="4294967294" count="1" selected="0">
              <x v="0"/>
            </reference>
            <reference field="18" count="1">
              <x v="10"/>
            </reference>
          </references>
        </pivotArea>
        <pivotArea type="data" collapsedLevelsAreSubtotals="1" fieldPosition="0">
          <references count="2">
            <reference field="4294967294" count="1" selected="0">
              <x v="0"/>
            </reference>
            <reference field="18" count="1">
              <x v="11"/>
            </reference>
          </references>
        </pivotArea>
        <pivotArea type="data" collapsedLevelsAreSubtotals="1" fieldPosition="0">
          <references count="2">
            <reference field="4294967294" count="1" selected="0">
              <x v="0"/>
            </reference>
            <reference field="18" count="1">
              <x v="12"/>
            </reference>
          </references>
        </pivotArea>
      </pivotAreas>
    </conditionalFormat>
  </conditional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10"/>
          </reference>
        </references>
      </pivotArea>
    </chartFormat>
    <chartFormat chart="2" format="4">
      <pivotArea type="data" outline="0" fieldPosition="0">
        <references count="2">
          <reference field="4294967294" count="1" selected="0">
            <x v="0"/>
          </reference>
          <reference field="18" count="1" selected="0">
            <x v="12"/>
          </reference>
        </references>
      </pivotArea>
    </chartFormat>
    <chartFormat chart="2" format="5">
      <pivotArea type="data" outline="0" fieldPosition="0">
        <references count="2">
          <reference field="4294967294" count="1" selected="0">
            <x v="0"/>
          </reference>
          <reference field="1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F5235F-960E-4EB9-A20D-04F3C3BEBF4B}" name="PivotTable1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Origin Country">
  <location ref="A36:B44" firstHeaderRow="1" firstDataRow="1" firstDataCol="1"/>
  <pivotFields count="21">
    <pivotField dataField="1"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axis="axisRow" showAll="0" sortType="descending">
      <items count="8">
        <item x="3"/>
        <item x="4"/>
        <item x="1"/>
        <item x="0"/>
        <item x="5"/>
        <item x="2"/>
        <item x="6"/>
        <item t="default"/>
      </items>
      <autoSortScope>
        <pivotArea dataOnly="0" outline="0" fieldPosition="0">
          <references count="1">
            <reference field="4294967294" count="1" selected="0">
              <x v="0"/>
            </reference>
          </references>
        </pivotArea>
      </autoSortScope>
    </pivotField>
    <pivotField showAll="0">
      <items count="10">
        <item x="2"/>
        <item x="5"/>
        <item x="1"/>
        <item x="7"/>
        <item x="6"/>
        <item x="0"/>
        <item x="3"/>
        <item x="4"/>
        <item x="8"/>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3"/>
  </rowFields>
  <rowItems count="8">
    <i>
      <x/>
    </i>
    <i>
      <x v="3"/>
    </i>
    <i>
      <x v="2"/>
    </i>
    <i>
      <x v="5"/>
    </i>
    <i>
      <x v="1"/>
    </i>
    <i>
      <x v="6"/>
    </i>
    <i>
      <x v="4"/>
    </i>
    <i t="grand">
      <x/>
    </i>
  </rowItems>
  <colItems count="1">
    <i/>
  </colItems>
  <dataFields count="1">
    <dataField name="Number Of Orders" fld="0" subtotal="count" baseField="0" baseItem="0"/>
  </dataFields>
  <formats count="4">
    <format dxfId="49">
      <pivotArea field="13" type="button" dataOnly="0" labelOnly="1" outline="0" axis="axisRow"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s>
  <conditionalFormats count="1">
    <conditionalFormat priority="2">
      <pivotAreas count="1">
        <pivotArea type="data" collapsedLevelsAreSubtotals="1" fieldPosition="0">
          <references count="2">
            <reference field="4294967294" count="1" selected="0">
              <x v="0"/>
            </reference>
            <reference field="13" count="7">
              <x v="0"/>
              <x v="1"/>
              <x v="2"/>
              <x v="3"/>
              <x v="4"/>
              <x v="5"/>
              <x v="6"/>
            </reference>
          </references>
        </pivotArea>
      </pivotAreas>
    </conditionalFormat>
  </conditionalFormats>
  <chartFormats count="2">
    <chartFormat chart="1"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59D838-3EAF-4071-A654-0F102E93F9D0}" name="PivotTable1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hipping Method">
  <location ref="A28:B32" firstHeaderRow="1" firstDataRow="1" firstDataCol="1"/>
  <pivotFields count="21">
    <pivotField showAll="0"/>
    <pivotField showAll="0"/>
    <pivotField showAll="0"/>
    <pivotField showAll="0"/>
    <pivotField showAll="0"/>
    <pivotField showAll="0">
      <items count="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dataField="1" showAll="0"/>
    <pivotField numFmtId="14" showAll="0"/>
    <pivotField showAll="0"/>
    <pivotField showAll="0">
      <items count="10">
        <item x="2"/>
        <item x="5"/>
        <item x="1"/>
        <item x="7"/>
        <item x="6"/>
        <item x="0"/>
        <item x="3"/>
        <item x="4"/>
        <item x="8"/>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4">
    <i>
      <x v="1"/>
    </i>
    <i>
      <x v="2"/>
    </i>
    <i>
      <x/>
    </i>
    <i t="grand">
      <x/>
    </i>
  </rowItems>
  <colItems count="1">
    <i/>
  </colItems>
  <dataFields count="1">
    <dataField name="Average Delivery days" fld="11" subtotal="average" baseField="9" baseItem="0"/>
  </dataFields>
  <formats count="5">
    <format dxfId="54">
      <pivotArea grandRow="1" outline="0" collapsedLevelsAreSubtotals="1" fieldPosition="0"/>
    </format>
    <format dxfId="53">
      <pivotArea dataOnly="0" labelOnly="1" outline="0" axis="axisValues" fieldPosition="0"/>
    </format>
    <format dxfId="52">
      <pivotArea field="8" type="button" dataOnly="0" labelOnly="1" outline="0" axis="axisRow" fieldPosition="0"/>
    </format>
    <format dxfId="51">
      <pivotArea dataOnly="0" labelOnly="1" grandRow="1" outline="0" fieldPosition="0"/>
    </format>
    <format dxfId="50">
      <pivotArea grandRow="1" outline="0" collapsedLevelsAreSubtotals="1"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1"/>
          </reference>
        </references>
      </pivotArea>
    </chartFormat>
    <chartFormat chart="2" format="10">
      <pivotArea type="data" outline="0" fieldPosition="0">
        <references count="2">
          <reference field="4294967294" count="1" selected="0">
            <x v="0"/>
          </reference>
          <reference field="8" count="1" selected="0">
            <x v="2"/>
          </reference>
        </references>
      </pivotArea>
    </chartFormat>
    <chartFormat chart="2" format="1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3" id="{E551D271-2652-4836-9808-CF2239469B21}">
            <x14:pivotAreas count="1">
              <pivotArea type="data" collapsedLevelsAreSubtotals="1" fieldPosition="0">
                <references count="2">
                  <reference field="4294967294" count="1" selected="0">
                    <x v="0"/>
                  </reference>
                  <reference field="8"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80E376-D00B-4F71-88CD-6DD9B928A43D}" name="PivotTable7" cacheId="8"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Order Status">
  <location ref="D10:E11" firstHeaderRow="1" firstDataRow="1" firstDataCol="1"/>
  <pivotFields count="21">
    <pivotField dataField="1"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axis="axisRow" showAll="0">
      <items count="4">
        <item h="1" x="0"/>
        <item h="1" x="1"/>
        <item x="2"/>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15"/>
  </rowFields>
  <rowItems count="1">
    <i>
      <x v="2"/>
    </i>
  </rowItems>
  <colItems count="1">
    <i/>
  </colItems>
  <dataFields count="1">
    <dataField name="Number of rejected orders" fld="0" subtotal="count" baseField="0" baseItem="0"/>
  </dataFields>
  <formats count="6">
    <format dxfId="60">
      <pivotArea outline="0" collapsedLevelsAreSubtotals="1" fieldPosition="0"/>
    </format>
    <format dxfId="59">
      <pivotArea outline="0" fieldPosition="0">
        <references count="1">
          <reference field="4294967294" count="1">
            <x v="0"/>
          </reference>
        </references>
      </pivotArea>
    </format>
    <format dxfId="58">
      <pivotArea field="15" type="button" dataOnly="0" labelOnly="1" outline="0" axis="axisRow" fieldPosition="0"/>
    </format>
    <format dxfId="57">
      <pivotArea dataOnly="0" labelOnly="1" outline="0" axis="axisValues" fieldPosition="0"/>
    </format>
    <format dxfId="56">
      <pivotArea field="15" type="button" dataOnly="0" labelOnly="1" outline="0" axis="axisRow"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83EE56-A0F4-46CD-BA3B-4FDC1C60536A}"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Origin Country">
  <location ref="A48:B52" firstHeaderRow="1" firstDataRow="1" firstDataCol="1"/>
  <pivotFields count="21">
    <pivotField showAll="0"/>
    <pivotField showAll="0"/>
    <pivotField showAll="0"/>
    <pivotField showAll="0"/>
    <pivotField showAll="0"/>
    <pivotField showAll="0">
      <items count="3">
        <item x="0"/>
        <item x="1"/>
        <item t="default"/>
      </items>
    </pivotField>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items count="8">
        <item x="3"/>
        <item x="4"/>
        <item x="1"/>
        <item x="0"/>
        <item x="5"/>
        <item x="2"/>
        <item x="6"/>
        <item t="default"/>
      </items>
    </pivotField>
    <pivotField showAll="0">
      <items count="10">
        <item x="2"/>
        <item x="5"/>
        <item x="1"/>
        <item x="7"/>
        <item x="6"/>
        <item x="0"/>
        <item x="3"/>
        <item x="4"/>
        <item x="8"/>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4">
    <i>
      <x v="2"/>
    </i>
    <i>
      <x v="1"/>
    </i>
    <i>
      <x/>
    </i>
    <i t="grand">
      <x/>
    </i>
  </rowItems>
  <colItems count="1">
    <i/>
  </colItems>
  <dataFields count="1">
    <dataField name="Sum of Weight" fld="9" baseField="0" baseItem="0"/>
  </dataFields>
  <formats count="6">
    <format dxfId="66">
      <pivotArea field="13" type="button" dataOnly="0" labelOnly="1" outline="0"/>
    </format>
    <format dxfId="65">
      <pivotArea dataOnly="0" labelOnly="1" outline="0" axis="axisValues" fieldPosition="0"/>
    </format>
    <format dxfId="64">
      <pivotArea grandRow="1" outline="0" collapsedLevelsAreSubtotals="1" fieldPosition="0"/>
    </format>
    <format dxfId="63">
      <pivotArea dataOnly="0" labelOnly="1" grandRow="1" outline="0" fieldPosition="0"/>
    </format>
    <format dxfId="62">
      <pivotArea field="8" type="button" dataOnly="0" labelOnly="1" outline="0" axis="axisRow" fieldPosition="0"/>
    </format>
    <format dxfId="61">
      <pivotArea collapsedLevelsAreSubtotals="1" fieldPosition="0">
        <references count="1">
          <reference field="8" count="0"/>
        </references>
      </pivotArea>
    </format>
  </formats>
  <conditionalFormats count="1">
    <conditionalFormat priority="1">
      <pivotAreas count="1">
        <pivotArea type="data" collapsedLevelsAreSubtotals="1" fieldPosition="0">
          <references count="2">
            <reference field="4294967294" count="1" selected="0">
              <x v="0"/>
            </reference>
            <reference field="8" count="3">
              <x v="0"/>
              <x v="1"/>
              <x v="2"/>
            </reference>
          </references>
        </pivotArea>
      </pivotAreas>
    </conditionalFormat>
  </conditionalFormats>
  <chartFormats count="1">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6CDA75-00EC-4979-B710-F5666DC9595F}" name="PivotTable8"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Shipping Method">
  <location ref="A19:B23" firstHeaderRow="1" firstDataRow="1" firstDataCol="1"/>
  <pivotFields count="21">
    <pivotField dataField="1" showAll="0"/>
    <pivotField showAll="0"/>
    <pivotField showAll="0"/>
    <pivotField showAll="0"/>
    <pivotField showAll="0"/>
    <pivotField showAll="0">
      <items count="3">
        <item x="0"/>
        <item x="1"/>
        <item t="default"/>
      </items>
    </pivotField>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numFmtId="14" showAll="0">
      <items count="25">
        <item x="23"/>
        <item x="22"/>
        <item x="21"/>
        <item x="20"/>
        <item x="19"/>
        <item x="18"/>
        <item x="16"/>
        <item x="17"/>
        <item x="15"/>
        <item x="14"/>
        <item x="13"/>
        <item x="12"/>
        <item x="11"/>
        <item x="10"/>
        <item x="9"/>
        <item x="8"/>
        <item x="7"/>
        <item x="4"/>
        <item x="6"/>
        <item x="5"/>
        <item x="3"/>
        <item x="2"/>
        <item x="1"/>
        <item x="0"/>
        <item t="default"/>
      </items>
    </pivotField>
    <pivotField showAll="0"/>
    <pivotField numFmtId="14" showAll="0"/>
    <pivotField showAll="0"/>
    <pivotField showAll="0">
      <items count="10">
        <item x="2"/>
        <item x="5"/>
        <item x="1"/>
        <item x="7"/>
        <item x="6"/>
        <item x="0"/>
        <item x="3"/>
        <item x="4"/>
        <item x="8"/>
        <item t="default"/>
      </items>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8"/>
  </rowFields>
  <rowItems count="4">
    <i>
      <x/>
    </i>
    <i>
      <x v="1"/>
    </i>
    <i>
      <x v="2"/>
    </i>
    <i t="grand">
      <x/>
    </i>
  </rowItems>
  <colItems count="1">
    <i/>
  </colItems>
  <dataFields count="1">
    <dataField name="Number Of Orders" fld="0" subtotal="count" baseField="0" baseItem="0"/>
  </dataFields>
  <formats count="6">
    <format dxfId="72">
      <pivotArea field="8" type="button" dataOnly="0" labelOnly="1" outline="0" axis="axisRow" fieldPosition="0"/>
    </format>
    <format dxfId="71">
      <pivotArea dataOnly="0" labelOnly="1" outline="0" axis="axisValues" fieldPosition="0"/>
    </format>
    <format dxfId="70">
      <pivotArea field="8" type="button" dataOnly="0" labelOnly="1" outline="0" axis="axisRow" fieldPosition="0"/>
    </format>
    <format dxfId="69">
      <pivotArea dataOnly="0" labelOnly="1" outline="0" axis="axisValues" fieldPosition="0"/>
    </format>
    <format dxfId="68">
      <pivotArea dataOnly="0" labelOnly="1" grandRow="1" outline="0" fieldPosition="0"/>
    </format>
    <format dxfId="6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11" id="{70FABC6F-3707-4988-ADDA-B651C7907704}">
            <x14:pivotAreas count="1">
              <pivotArea type="data" collapsedLevelsAreSubtotals="1" fieldPosition="0">
                <references count="2">
                  <reference field="4294967294" count="1" selected="0">
                    <x v="0"/>
                  </reference>
                  <reference field="8" count="3">
                    <x v="0"/>
                    <x v="1"/>
                    <x v="2"/>
                  </reference>
                </references>
              </pivotArea>
            </x14:pivotAreas>
          </x14:conditionalFormat>
          <x14:conditionalFormat priority="10" id="{D8BD0E12-9573-49F5-B218-A6243D67ED63}">
            <x14:pivotAreas count="1">
              <pivotArea type="data" collapsedLevelsAreSubtotals="1" fieldPosition="0">
                <references count="2">
                  <reference field="4294967294" count="1" selected="0">
                    <x v="0"/>
                  </reference>
                  <reference field="8" count="3">
                    <x v="0"/>
                    <x v="1"/>
                    <x v="2"/>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C39BD0-A1D1-4C4A-824C-7FDD9AF18CFB}" autoFormatId="16" applyNumberFormats="0" applyBorderFormats="0" applyFontFormats="0" applyPatternFormats="0" applyAlignmentFormats="0" applyWidthHeightFormats="0">
  <queryTableRefresh nextId="25">
    <queryTableFields count="17">
      <queryTableField id="1" name="ID" tableColumnId="1"/>
      <queryTableField id="2" name="Customer Name" tableColumnId="2"/>
      <queryTableField id="3" name="Number" tableColumnId="3"/>
      <queryTableField id="4" name="E-mail" tableColumnId="4"/>
      <queryTableField id="5" name="Address" tableColumnId="5"/>
      <queryTableField id="6" name="Language" tableColumnId="6"/>
      <queryTableField id="7" name="Order" tableColumnId="7"/>
      <queryTableField id="9" name="Type of goods" tableColumnId="9"/>
      <queryTableField id="10" name="shipping method" tableColumnId="10"/>
      <queryTableField id="11" name="Weight" tableColumnId="11"/>
      <queryTableField id="8" name="received date" tableColumnId="8"/>
      <queryTableField id="12" name="Delivery days" tableColumnId="12"/>
      <queryTableField id="13" name="Date Expected" tableColumnId="13"/>
      <queryTableField id="21" name="Origin Cuntry" tableColumnId="18"/>
      <queryTableField id="22" name="Destination country" tableColumnId="19"/>
      <queryTableField id="16" name="Order Status" tableColumnId="16"/>
      <queryTableField id="17" name="Shipping cos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D73C586F-6C23-418C-8E49-ECC6D98322B8}" sourceName="Language">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9"/>
    <pivotTable tabId="4" name="PivotTable4"/>
  </pivotTables>
  <data>
    <tabular pivotCacheId="21185291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ethod" xr10:uid="{15F1E2D5-DF61-4105-903A-89625F138C4C}" sourceName="shipping method">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9"/>
    <pivotTable tabId="4" name="PivotTable4"/>
  </pivotTables>
  <data>
    <tabular pivotCacheId="21185291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_country" xr10:uid="{28A8DB1D-4390-45C6-A8F5-6EF3F4B17D7C}" sourceName="Destination country">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9"/>
    <pivotTable tabId="4" name="PivotTable4"/>
  </pivotTables>
  <data>
    <tabular pivotCacheId="2118529127">
      <items count="9">
        <i x="2" s="1"/>
        <i x="5" s="1"/>
        <i x="1" s="1"/>
        <i x="7" s="1"/>
        <i x="6" s="1"/>
        <i x="0" s="1"/>
        <i x="3" s="1"/>
        <i x="4"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ceived_date" xr10:uid="{8FAEABF6-B006-4E04-B9EF-5B18C0E44505}" sourceName="Months (received date)">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9"/>
    <pivotTable tabId="4" name="PivotTable4"/>
  </pivotTables>
  <data>
    <tabular pivotCacheId="2118529127">
      <items count="14">
        <i x="1" s="1"/>
        <i x="10" s="1"/>
        <i x="11" s="1"/>
        <i x="12" s="1"/>
        <i x="2" s="1" nd="1"/>
        <i x="3" s="1" nd="1"/>
        <i x="4" s="1" nd="1"/>
        <i x="5" s="1" nd="1"/>
        <i x="6" s="1" nd="1"/>
        <i x="7" s="1" nd="1"/>
        <i x="8" s="1" nd="1"/>
        <i x="9" s="1" nd="1"/>
        <i x="0" s="1" nd="1"/>
        <i x="13"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ceived_date" xr10:uid="{EBF96260-6769-43EC-BA25-512254B567DD}" sourceName="Years (received date)">
  <pivotTables>
    <pivotTable tabId="4" name="PivotTable8"/>
    <pivotTable tabId="4" name="PivotTable1"/>
    <pivotTable tabId="4" name="PivotTable10"/>
    <pivotTable tabId="4" name="PivotTable11"/>
    <pivotTable tabId="4" name="PivotTable12"/>
    <pivotTable tabId="4" name="PivotTable13"/>
    <pivotTable tabId="4" name="PivotTable14"/>
    <pivotTable tabId="4" name="PivotTable2"/>
    <pivotTable tabId="4" name="PivotTable3"/>
    <pivotTable tabId="4" name="PivotTable7"/>
    <pivotTable tabId="4" name="PivotTable9"/>
    <pivotTable tabId="4" name="PivotTable4"/>
  </pivotTables>
  <data>
    <tabular pivotCacheId="2118529127">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00CBE086-58BC-4990-AA59-0AC141F13B88}" cache="Slicer_Language" caption="Language" style="Slicer Style 1" rowHeight="257175"/>
  <slicer name="shipping method" xr10:uid="{E5DD5CB0-F6DF-49BF-B2C9-1F97F1046102}" cache="Slicer_shipping_method" caption="shipping method" style="Slicer Style 1" rowHeight="257175"/>
  <slicer name="Destination country" xr10:uid="{C4B9730E-6DCA-4D7F-AE3E-17DC879BB61A}" cache="Slicer_Destination_country" caption="Destination country" columnCount="9" style="Slicer Style 1" rowHeight="257175"/>
  <slicer name="Months (received date)" xr10:uid="{12B11DC9-B22F-4FEE-B436-DA90D181D3A5}" cache="Slicer_Months__received_date" caption="Months (received date)" style="Slicer Style 1" rowHeight="257175"/>
  <slicer name="Years (received date)" xr10:uid="{BC951E76-25C0-4852-98CE-C1F574FCF126}" cache="Slicer_Years__received_date" caption="Years (received date)"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FBC3C5-BBEB-485A-8B40-9F063A446EAF}" name="Sheet1" displayName="Sheet1" ref="A1:Q55" tableType="queryTable" totalsRowShown="0">
  <autoFilter ref="A1:Q55" xr:uid="{14FBC3C5-BBEB-485A-8B40-9F063A446EAF}"/>
  <tableColumns count="17">
    <tableColumn id="1" xr3:uid="{28557818-D36A-4B1B-9BDD-C5F0F4F2C9E5}" uniqueName="1" name="ID" queryTableFieldId="1" dataDxfId="85"/>
    <tableColumn id="2" xr3:uid="{08C16FA0-3674-488E-89AA-824C1925FFC9}" uniqueName="2" name="Customer Name" queryTableFieldId="2" dataDxfId="84"/>
    <tableColumn id="3" xr3:uid="{735FA9F3-4E97-4AF8-AF09-F4FFC8D35C1A}" uniqueName="3" name="Number" queryTableFieldId="3" dataDxfId="83"/>
    <tableColumn id="4" xr3:uid="{6B43C6F1-0AFC-4C1E-9FE2-5298E048F2B6}" uniqueName="4" name="E-mail" queryTableFieldId="4" dataDxfId="82"/>
    <tableColumn id="5" xr3:uid="{C6DE6283-D9F8-40D6-95EC-7212DCEDD20C}" uniqueName="5" name="Address" queryTableFieldId="5" dataDxfId="81"/>
    <tableColumn id="6" xr3:uid="{D26B1556-59D1-4AD7-9E67-3796F997AF28}" uniqueName="6" name="Language" queryTableFieldId="6" dataDxfId="80"/>
    <tableColumn id="7" xr3:uid="{958CD25C-43EE-43FC-B919-CCF124F3B07D}" uniqueName="7" name="Order" queryTableFieldId="7" dataDxfId="79"/>
    <tableColumn id="9" xr3:uid="{DB8DEAC5-1C74-44A9-AC2F-B306835257E6}" uniqueName="9" name="Type of goods" queryTableFieldId="9" dataDxfId="78"/>
    <tableColumn id="10" xr3:uid="{89C50306-0C38-4137-9994-28403B4BC1B2}" uniqueName="10" name="shipping method" queryTableFieldId="10" dataDxfId="77"/>
    <tableColumn id="11" xr3:uid="{95B01E37-2121-43F9-872D-5936E9F24534}" uniqueName="11" name="Weight" queryTableFieldId="11" dataDxfId="76"/>
    <tableColumn id="8" xr3:uid="{9821AA70-F339-4776-8670-E11660C0D39A}" uniqueName="8" name="received date" queryTableFieldId="8" dataDxfId="3"/>
    <tableColumn id="12" xr3:uid="{B97065AE-E4A9-4BB6-8A47-3367538E69C2}" uniqueName="12" name="Delivery days" queryTableFieldId="12" dataDxfId="2"/>
    <tableColumn id="13" xr3:uid="{95BE34BF-6CF9-4E04-8961-5D182C8EB6E1}" uniqueName="13" name="Date Expected" queryTableFieldId="13" dataDxfId="1"/>
    <tableColumn id="18" xr3:uid="{2E3EDADC-10B5-4388-866D-FB38A6C65E9C}" uniqueName="18" name="Origin Cuntry" queryTableFieldId="21" dataDxfId="75"/>
    <tableColumn id="19" xr3:uid="{3B80B97E-0287-4434-ABC8-B7F91CABF9AA}" uniqueName="19" name="Destination country" queryTableFieldId="22" dataDxfId="74"/>
    <tableColumn id="16" xr3:uid="{4E79A7C8-CE73-4117-B514-01A060BE034C}" uniqueName="16" name="Order Status" queryTableFieldId="16" dataDxfId="73"/>
    <tableColumn id="17" xr3:uid="{87E45712-BB44-45BB-9D6C-2C7BBCD8F7F2}" uniqueName="17" name="Shipping cost" queryTableFieldId="1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94E9-96FD-474F-897E-BB61944B560F}">
  <dimension ref="A1:Q55"/>
  <sheetViews>
    <sheetView topLeftCell="D1" zoomScale="91" zoomScaleNormal="91" workbookViewId="0">
      <selection activeCell="I9" sqref="I9"/>
    </sheetView>
  </sheetViews>
  <sheetFormatPr defaultRowHeight="14.4" x14ac:dyDescent="0.3"/>
  <cols>
    <col min="1" max="1" width="7.6640625" bestFit="1" customWidth="1"/>
    <col min="2" max="2" width="17.77734375" bestFit="1" customWidth="1"/>
    <col min="3" max="3" width="11" bestFit="1" customWidth="1"/>
    <col min="4" max="4" width="35.44140625" bestFit="1" customWidth="1"/>
    <col min="5" max="5" width="10.6640625" bestFit="1" customWidth="1"/>
    <col min="6" max="6" width="11.6640625" bestFit="1" customWidth="1"/>
    <col min="7" max="7" width="8.5546875" bestFit="1" customWidth="1"/>
    <col min="8" max="8" width="15.33203125" bestFit="1" customWidth="1"/>
    <col min="9" max="9" width="18.109375" bestFit="1" customWidth="1"/>
    <col min="10" max="10" width="9.5546875" style="19" bestFit="1" customWidth="1"/>
    <col min="11" max="11" width="15.21875" bestFit="1" customWidth="1"/>
    <col min="12" max="12" width="15.21875" style="6" bestFit="1" customWidth="1"/>
    <col min="13" max="13" width="16" bestFit="1" customWidth="1"/>
    <col min="14" max="14" width="14.88671875" bestFit="1" customWidth="1"/>
    <col min="15" max="15" width="20.5546875" bestFit="1" customWidth="1"/>
    <col min="16" max="16" width="14.21875" bestFit="1" customWidth="1"/>
    <col min="17" max="17" width="15" style="7" bestFit="1" customWidth="1"/>
    <col min="18" max="18" width="14.33203125" bestFit="1" customWidth="1"/>
    <col min="19" max="19" width="15" bestFit="1" customWidth="1"/>
  </cols>
  <sheetData>
    <row r="1" spans="1:17" x14ac:dyDescent="0.3">
      <c r="A1" t="s">
        <v>0</v>
      </c>
      <c r="B1" t="s">
        <v>1</v>
      </c>
      <c r="C1" t="s">
        <v>2</v>
      </c>
      <c r="D1" t="s">
        <v>3</v>
      </c>
      <c r="E1" t="s">
        <v>4</v>
      </c>
      <c r="F1" t="s">
        <v>5</v>
      </c>
      <c r="G1" t="s">
        <v>6</v>
      </c>
      <c r="H1" t="s">
        <v>8</v>
      </c>
      <c r="I1" t="s">
        <v>9</v>
      </c>
      <c r="J1" s="19" t="s">
        <v>10</v>
      </c>
      <c r="K1" t="s">
        <v>7</v>
      </c>
      <c r="L1" s="6" t="s">
        <v>11</v>
      </c>
      <c r="M1" t="s">
        <v>12</v>
      </c>
      <c r="N1" t="s">
        <v>134</v>
      </c>
      <c r="O1" t="s">
        <v>135</v>
      </c>
      <c r="P1" t="s">
        <v>13</v>
      </c>
      <c r="Q1" s="7" t="s">
        <v>14</v>
      </c>
    </row>
    <row r="2" spans="1:17" x14ac:dyDescent="0.3">
      <c r="A2" t="s">
        <v>15</v>
      </c>
      <c r="B2" t="s">
        <v>16</v>
      </c>
      <c r="C2" t="s">
        <v>17</v>
      </c>
      <c r="D2" t="s">
        <v>18</v>
      </c>
      <c r="E2" t="s">
        <v>19</v>
      </c>
      <c r="F2" t="s">
        <v>20</v>
      </c>
      <c r="G2" t="s">
        <v>21</v>
      </c>
      <c r="H2" t="s">
        <v>22</v>
      </c>
      <c r="I2" t="s">
        <v>23</v>
      </c>
      <c r="J2">
        <v>4</v>
      </c>
      <c r="K2" s="1">
        <v>43105</v>
      </c>
      <c r="L2" s="6">
        <v>1</v>
      </c>
      <c r="M2" s="1">
        <v>43106</v>
      </c>
      <c r="N2" t="s">
        <v>19</v>
      </c>
      <c r="O2" t="s">
        <v>24</v>
      </c>
      <c r="P2" t="s">
        <v>25</v>
      </c>
      <c r="Q2" s="7">
        <v>52</v>
      </c>
    </row>
    <row r="3" spans="1:17" x14ac:dyDescent="0.3">
      <c r="A3" t="s">
        <v>26</v>
      </c>
      <c r="B3" t="s">
        <v>27</v>
      </c>
      <c r="C3" t="s">
        <v>28</v>
      </c>
      <c r="D3" t="s">
        <v>29</v>
      </c>
      <c r="E3" t="s">
        <v>30</v>
      </c>
      <c r="F3" t="s">
        <v>31</v>
      </c>
      <c r="G3" t="s">
        <v>32</v>
      </c>
      <c r="H3" t="s">
        <v>33</v>
      </c>
      <c r="I3" t="s">
        <v>34</v>
      </c>
      <c r="J3">
        <v>6</v>
      </c>
      <c r="K3" s="1">
        <v>43104</v>
      </c>
      <c r="L3" s="6">
        <v>10</v>
      </c>
      <c r="M3" s="1">
        <v>43114</v>
      </c>
      <c r="N3" t="s">
        <v>30</v>
      </c>
      <c r="O3" t="s">
        <v>35</v>
      </c>
      <c r="P3" t="s">
        <v>36</v>
      </c>
      <c r="Q3" s="7">
        <v>33</v>
      </c>
    </row>
    <row r="4" spans="1:17" x14ac:dyDescent="0.3">
      <c r="A4" t="s">
        <v>37</v>
      </c>
      <c r="B4" t="s">
        <v>38</v>
      </c>
      <c r="C4" t="s">
        <v>39</v>
      </c>
      <c r="D4" t="s">
        <v>40</v>
      </c>
      <c r="E4" t="s">
        <v>41</v>
      </c>
      <c r="F4" t="s">
        <v>20</v>
      </c>
      <c r="G4" t="s">
        <v>42</v>
      </c>
      <c r="H4" t="s">
        <v>43</v>
      </c>
      <c r="I4" t="s">
        <v>44</v>
      </c>
      <c r="J4">
        <v>0</v>
      </c>
      <c r="K4" s="1">
        <v>43103</v>
      </c>
      <c r="L4" s="6">
        <v>3</v>
      </c>
      <c r="M4" s="1">
        <v>43106</v>
      </c>
      <c r="N4" t="s">
        <v>45</v>
      </c>
      <c r="O4" t="s">
        <v>46</v>
      </c>
      <c r="P4" t="s">
        <v>47</v>
      </c>
      <c r="Q4" s="7">
        <v>15</v>
      </c>
    </row>
    <row r="5" spans="1:17" x14ac:dyDescent="0.3">
      <c r="A5" t="s">
        <v>48</v>
      </c>
      <c r="B5" t="s">
        <v>49</v>
      </c>
      <c r="C5" t="s">
        <v>50</v>
      </c>
      <c r="D5" t="s">
        <v>51</v>
      </c>
      <c r="E5" t="s">
        <v>41</v>
      </c>
      <c r="F5" t="s">
        <v>20</v>
      </c>
      <c r="G5" t="s">
        <v>52</v>
      </c>
      <c r="H5" t="s">
        <v>33</v>
      </c>
      <c r="I5" t="s">
        <v>34</v>
      </c>
      <c r="J5">
        <v>12</v>
      </c>
      <c r="K5" s="1">
        <v>43103</v>
      </c>
      <c r="L5" s="6">
        <v>10</v>
      </c>
      <c r="M5" s="1">
        <v>43113</v>
      </c>
      <c r="N5" t="s">
        <v>41</v>
      </c>
      <c r="O5" t="s">
        <v>53</v>
      </c>
      <c r="P5" t="s">
        <v>25</v>
      </c>
      <c r="Q5" s="7">
        <v>45</v>
      </c>
    </row>
    <row r="6" spans="1:17" x14ac:dyDescent="0.3">
      <c r="A6" t="s">
        <v>54</v>
      </c>
      <c r="B6" t="s">
        <v>55</v>
      </c>
      <c r="C6" t="s">
        <v>56</v>
      </c>
      <c r="D6" t="s">
        <v>57</v>
      </c>
      <c r="E6" t="s">
        <v>35</v>
      </c>
      <c r="F6" t="s">
        <v>20</v>
      </c>
      <c r="G6" t="s">
        <v>58</v>
      </c>
      <c r="H6" t="s">
        <v>43</v>
      </c>
      <c r="I6" t="s">
        <v>23</v>
      </c>
      <c r="J6">
        <v>0</v>
      </c>
      <c r="K6" s="1">
        <v>43103</v>
      </c>
      <c r="L6" s="6">
        <v>1</v>
      </c>
      <c r="M6" s="1">
        <v>43104</v>
      </c>
      <c r="N6" t="s">
        <v>30</v>
      </c>
      <c r="O6" t="s">
        <v>35</v>
      </c>
      <c r="P6" t="s">
        <v>25</v>
      </c>
      <c r="Q6" s="7">
        <v>45</v>
      </c>
    </row>
    <row r="7" spans="1:17" x14ac:dyDescent="0.3">
      <c r="A7" t="s">
        <v>59</v>
      </c>
      <c r="B7" t="s">
        <v>60</v>
      </c>
      <c r="C7" t="s">
        <v>61</v>
      </c>
      <c r="D7" t="s">
        <v>62</v>
      </c>
      <c r="E7" t="s">
        <v>45</v>
      </c>
      <c r="F7" t="s">
        <v>20</v>
      </c>
      <c r="G7" t="s">
        <v>63</v>
      </c>
      <c r="H7" t="s">
        <v>22</v>
      </c>
      <c r="I7" t="s">
        <v>44</v>
      </c>
      <c r="J7">
        <v>16</v>
      </c>
      <c r="K7" s="1">
        <v>43102</v>
      </c>
      <c r="L7" s="6">
        <v>3</v>
      </c>
      <c r="M7" s="1">
        <v>43105</v>
      </c>
      <c r="N7" t="s">
        <v>45</v>
      </c>
      <c r="O7" t="s">
        <v>45</v>
      </c>
      <c r="P7" t="s">
        <v>47</v>
      </c>
      <c r="Q7" s="7">
        <v>46</v>
      </c>
    </row>
    <row r="8" spans="1:17" x14ac:dyDescent="0.3">
      <c r="A8" t="s">
        <v>64</v>
      </c>
      <c r="B8" t="s">
        <v>65</v>
      </c>
      <c r="C8" t="s">
        <v>66</v>
      </c>
      <c r="D8" t="s">
        <v>67</v>
      </c>
      <c r="E8" t="s">
        <v>41</v>
      </c>
      <c r="F8" t="s">
        <v>20</v>
      </c>
      <c r="G8" t="s">
        <v>68</v>
      </c>
      <c r="H8" t="s">
        <v>33</v>
      </c>
      <c r="I8" t="s">
        <v>23</v>
      </c>
      <c r="J8">
        <v>20</v>
      </c>
      <c r="K8" s="1">
        <v>43102</v>
      </c>
      <c r="L8" s="6">
        <v>1</v>
      </c>
      <c r="M8" s="1">
        <v>43103</v>
      </c>
      <c r="N8" t="s">
        <v>19</v>
      </c>
      <c r="O8" t="s">
        <v>24</v>
      </c>
      <c r="P8" t="s">
        <v>25</v>
      </c>
      <c r="Q8" s="7">
        <v>86</v>
      </c>
    </row>
    <row r="9" spans="1:17" x14ac:dyDescent="0.3">
      <c r="A9" t="s">
        <v>64</v>
      </c>
      <c r="B9" t="s">
        <v>65</v>
      </c>
      <c r="C9" t="s">
        <v>66</v>
      </c>
      <c r="D9" t="s">
        <v>67</v>
      </c>
      <c r="E9" t="s">
        <v>41</v>
      </c>
      <c r="F9" t="s">
        <v>20</v>
      </c>
      <c r="G9" t="s">
        <v>69</v>
      </c>
      <c r="H9" t="s">
        <v>33</v>
      </c>
      <c r="I9" t="s">
        <v>44</v>
      </c>
      <c r="J9">
        <v>4</v>
      </c>
      <c r="K9" s="1">
        <v>43098</v>
      </c>
      <c r="L9" s="6">
        <v>3</v>
      </c>
      <c r="M9" s="1">
        <v>43101</v>
      </c>
      <c r="N9" t="s">
        <v>45</v>
      </c>
      <c r="O9" t="s">
        <v>45</v>
      </c>
      <c r="P9" t="s">
        <v>25</v>
      </c>
      <c r="Q9" s="7">
        <v>24</v>
      </c>
    </row>
    <row r="10" spans="1:17" x14ac:dyDescent="0.3">
      <c r="A10" t="s">
        <v>70</v>
      </c>
      <c r="B10" t="s">
        <v>71</v>
      </c>
      <c r="C10" t="s">
        <v>72</v>
      </c>
      <c r="D10" t="s">
        <v>73</v>
      </c>
      <c r="E10" t="s">
        <v>41</v>
      </c>
      <c r="F10" t="s">
        <v>20</v>
      </c>
      <c r="G10" t="s">
        <v>74</v>
      </c>
      <c r="H10" t="s">
        <v>43</v>
      </c>
      <c r="I10" t="s">
        <v>44</v>
      </c>
      <c r="J10">
        <v>0</v>
      </c>
      <c r="K10" s="1">
        <v>43101</v>
      </c>
      <c r="L10" s="6">
        <v>3</v>
      </c>
      <c r="M10" s="1">
        <v>43104</v>
      </c>
      <c r="N10" t="s">
        <v>45</v>
      </c>
      <c r="O10" t="s">
        <v>45</v>
      </c>
      <c r="P10" t="s">
        <v>47</v>
      </c>
      <c r="Q10" s="7">
        <v>15</v>
      </c>
    </row>
    <row r="11" spans="1:17" x14ac:dyDescent="0.3">
      <c r="A11" t="s">
        <v>75</v>
      </c>
      <c r="B11" t="s">
        <v>76</v>
      </c>
      <c r="C11" t="s">
        <v>77</v>
      </c>
      <c r="D11" t="s">
        <v>78</v>
      </c>
      <c r="E11" t="s">
        <v>41</v>
      </c>
      <c r="F11" t="s">
        <v>20</v>
      </c>
      <c r="G11" t="s">
        <v>79</v>
      </c>
      <c r="H11" t="s">
        <v>33</v>
      </c>
      <c r="I11" t="s">
        <v>23</v>
      </c>
      <c r="J11">
        <v>19</v>
      </c>
      <c r="K11" s="1">
        <v>43101</v>
      </c>
      <c r="L11" s="6">
        <v>1</v>
      </c>
      <c r="M11" s="1">
        <v>43102</v>
      </c>
      <c r="N11" t="s">
        <v>19</v>
      </c>
      <c r="O11" t="s">
        <v>24</v>
      </c>
      <c r="P11" t="s">
        <v>25</v>
      </c>
      <c r="Q11" s="7">
        <v>84</v>
      </c>
    </row>
    <row r="12" spans="1:17" x14ac:dyDescent="0.3">
      <c r="A12" t="s">
        <v>80</v>
      </c>
      <c r="B12" t="s">
        <v>81</v>
      </c>
      <c r="C12" t="s">
        <v>82</v>
      </c>
      <c r="D12" t="s">
        <v>83</v>
      </c>
      <c r="E12" t="s">
        <v>41</v>
      </c>
      <c r="F12" t="s">
        <v>20</v>
      </c>
      <c r="G12" t="s">
        <v>84</v>
      </c>
      <c r="H12" t="s">
        <v>43</v>
      </c>
      <c r="I12" t="s">
        <v>44</v>
      </c>
      <c r="J12">
        <v>0</v>
      </c>
      <c r="K12" s="1">
        <v>43099</v>
      </c>
      <c r="L12" s="6">
        <v>3</v>
      </c>
      <c r="M12" s="1">
        <v>43102</v>
      </c>
      <c r="N12" t="s">
        <v>45</v>
      </c>
      <c r="O12" t="s">
        <v>45</v>
      </c>
      <c r="P12" t="s">
        <v>25</v>
      </c>
      <c r="Q12" s="7">
        <v>15</v>
      </c>
    </row>
    <row r="13" spans="1:17" x14ac:dyDescent="0.3">
      <c r="A13" t="s">
        <v>85</v>
      </c>
      <c r="B13" t="s">
        <v>86</v>
      </c>
      <c r="C13" t="s">
        <v>87</v>
      </c>
      <c r="D13" t="s">
        <v>88</v>
      </c>
      <c r="E13" t="s">
        <v>41</v>
      </c>
      <c r="F13" t="s">
        <v>20</v>
      </c>
      <c r="G13" t="s">
        <v>89</v>
      </c>
      <c r="H13" t="s">
        <v>43</v>
      </c>
      <c r="I13" t="s">
        <v>23</v>
      </c>
      <c r="J13">
        <v>0</v>
      </c>
      <c r="K13" s="1">
        <v>43099</v>
      </c>
      <c r="L13" s="6">
        <v>1</v>
      </c>
      <c r="M13" s="1">
        <v>43100</v>
      </c>
      <c r="N13" t="s">
        <v>30</v>
      </c>
      <c r="O13" t="s">
        <v>35</v>
      </c>
      <c r="P13" t="s">
        <v>25</v>
      </c>
      <c r="Q13" s="7">
        <v>45</v>
      </c>
    </row>
    <row r="14" spans="1:17" x14ac:dyDescent="0.3">
      <c r="A14" t="s">
        <v>70</v>
      </c>
      <c r="B14" t="s">
        <v>71</v>
      </c>
      <c r="C14" t="s">
        <v>72</v>
      </c>
      <c r="D14" t="s">
        <v>73</v>
      </c>
      <c r="E14" t="s">
        <v>41</v>
      </c>
      <c r="F14" t="s">
        <v>20</v>
      </c>
      <c r="G14" t="s">
        <v>90</v>
      </c>
      <c r="H14" t="s">
        <v>22</v>
      </c>
      <c r="I14" t="s">
        <v>44</v>
      </c>
      <c r="J14">
        <v>20</v>
      </c>
      <c r="K14" s="1">
        <v>43099</v>
      </c>
      <c r="L14" s="6">
        <v>3</v>
      </c>
      <c r="M14" s="1">
        <v>43102</v>
      </c>
      <c r="N14" t="s">
        <v>41</v>
      </c>
      <c r="O14" t="s">
        <v>41</v>
      </c>
      <c r="P14" t="s">
        <v>36</v>
      </c>
      <c r="Q14" s="7">
        <v>54</v>
      </c>
    </row>
    <row r="15" spans="1:17" x14ac:dyDescent="0.3">
      <c r="A15" t="s">
        <v>37</v>
      </c>
      <c r="B15" t="s">
        <v>38</v>
      </c>
      <c r="C15" t="s">
        <v>39</v>
      </c>
      <c r="D15" t="s">
        <v>40</v>
      </c>
      <c r="E15" t="s">
        <v>41</v>
      </c>
      <c r="F15" t="s">
        <v>20</v>
      </c>
      <c r="G15" t="s">
        <v>91</v>
      </c>
      <c r="H15" t="s">
        <v>43</v>
      </c>
      <c r="I15" t="s">
        <v>44</v>
      </c>
      <c r="J15">
        <v>0</v>
      </c>
      <c r="K15" s="1">
        <v>43097</v>
      </c>
      <c r="L15" s="6">
        <v>3</v>
      </c>
      <c r="M15" s="1">
        <v>43100</v>
      </c>
      <c r="N15" t="s">
        <v>19</v>
      </c>
      <c r="O15" t="s">
        <v>19</v>
      </c>
      <c r="P15" t="s">
        <v>25</v>
      </c>
      <c r="Q15" s="7">
        <v>15</v>
      </c>
    </row>
    <row r="16" spans="1:17" x14ac:dyDescent="0.3">
      <c r="A16" t="s">
        <v>48</v>
      </c>
      <c r="B16" t="s">
        <v>49</v>
      </c>
      <c r="C16" t="s">
        <v>50</v>
      </c>
      <c r="D16" t="s">
        <v>51</v>
      </c>
      <c r="E16" t="s">
        <v>41</v>
      </c>
      <c r="F16" t="s">
        <v>20</v>
      </c>
      <c r="G16" t="s">
        <v>92</v>
      </c>
      <c r="H16" t="s">
        <v>33</v>
      </c>
      <c r="I16" t="s">
        <v>44</v>
      </c>
      <c r="J16">
        <v>4</v>
      </c>
      <c r="K16" s="1">
        <v>43098</v>
      </c>
      <c r="L16" s="6">
        <v>3</v>
      </c>
      <c r="M16" s="1">
        <v>43101</v>
      </c>
      <c r="N16" t="s">
        <v>45</v>
      </c>
      <c r="O16" t="s">
        <v>45</v>
      </c>
      <c r="P16" t="s">
        <v>47</v>
      </c>
      <c r="Q16" s="7">
        <v>24</v>
      </c>
    </row>
    <row r="17" spans="1:17" x14ac:dyDescent="0.3">
      <c r="A17" t="s">
        <v>54</v>
      </c>
      <c r="B17" t="s">
        <v>55</v>
      </c>
      <c r="C17" t="s">
        <v>56</v>
      </c>
      <c r="D17" t="s">
        <v>57</v>
      </c>
      <c r="E17" t="s">
        <v>35</v>
      </c>
      <c r="F17" t="s">
        <v>20</v>
      </c>
      <c r="G17" t="s">
        <v>93</v>
      </c>
      <c r="H17" t="s">
        <v>22</v>
      </c>
      <c r="I17" t="s">
        <v>23</v>
      </c>
      <c r="J17">
        <v>23</v>
      </c>
      <c r="K17" s="1">
        <v>43098</v>
      </c>
      <c r="L17" s="6">
        <v>1</v>
      </c>
      <c r="M17" s="1">
        <v>43099</v>
      </c>
      <c r="N17" t="s">
        <v>45</v>
      </c>
      <c r="O17" t="s">
        <v>46</v>
      </c>
      <c r="P17" t="s">
        <v>25</v>
      </c>
      <c r="Q17" s="7">
        <v>90</v>
      </c>
    </row>
    <row r="18" spans="1:17" x14ac:dyDescent="0.3">
      <c r="A18" t="s">
        <v>59</v>
      </c>
      <c r="B18" t="s">
        <v>60</v>
      </c>
      <c r="C18" t="s">
        <v>61</v>
      </c>
      <c r="D18" t="s">
        <v>62</v>
      </c>
      <c r="E18" t="s">
        <v>45</v>
      </c>
      <c r="F18" t="s">
        <v>20</v>
      </c>
      <c r="G18" t="s">
        <v>94</v>
      </c>
      <c r="H18" t="s">
        <v>43</v>
      </c>
      <c r="I18" t="s">
        <v>44</v>
      </c>
      <c r="J18">
        <v>0</v>
      </c>
      <c r="K18" s="1">
        <v>43097</v>
      </c>
      <c r="L18" s="6">
        <v>3</v>
      </c>
      <c r="M18" s="1">
        <v>43100</v>
      </c>
      <c r="N18" t="s">
        <v>45</v>
      </c>
      <c r="O18" t="s">
        <v>45</v>
      </c>
      <c r="P18" t="s">
        <v>36</v>
      </c>
      <c r="Q18" s="7">
        <v>15</v>
      </c>
    </row>
    <row r="19" spans="1:17" x14ac:dyDescent="0.3">
      <c r="A19" t="s">
        <v>85</v>
      </c>
      <c r="B19" t="s">
        <v>86</v>
      </c>
      <c r="C19" t="s">
        <v>87</v>
      </c>
      <c r="D19" t="s">
        <v>88</v>
      </c>
      <c r="E19" t="s">
        <v>41</v>
      </c>
      <c r="F19" t="s">
        <v>20</v>
      </c>
      <c r="G19" t="s">
        <v>95</v>
      </c>
      <c r="H19" t="s">
        <v>33</v>
      </c>
      <c r="I19" t="s">
        <v>44</v>
      </c>
      <c r="J19">
        <v>36</v>
      </c>
      <c r="K19" s="1">
        <v>43096</v>
      </c>
      <c r="L19" s="6">
        <v>3</v>
      </c>
      <c r="M19" s="1">
        <v>43099</v>
      </c>
      <c r="N19" t="s">
        <v>30</v>
      </c>
      <c r="O19" t="s">
        <v>30</v>
      </c>
      <c r="P19" t="s">
        <v>25</v>
      </c>
      <c r="Q19" s="7">
        <v>88</v>
      </c>
    </row>
    <row r="20" spans="1:17" x14ac:dyDescent="0.3">
      <c r="A20" t="s">
        <v>37</v>
      </c>
      <c r="B20" t="s">
        <v>38</v>
      </c>
      <c r="C20" t="s">
        <v>39</v>
      </c>
      <c r="D20" t="s">
        <v>40</v>
      </c>
      <c r="E20" t="s">
        <v>41</v>
      </c>
      <c r="F20" t="s">
        <v>20</v>
      </c>
      <c r="G20" t="s">
        <v>96</v>
      </c>
      <c r="H20" t="s">
        <v>22</v>
      </c>
      <c r="I20" t="s">
        <v>44</v>
      </c>
      <c r="J20">
        <v>20</v>
      </c>
      <c r="K20" s="1">
        <v>43073</v>
      </c>
      <c r="L20" s="6">
        <v>3</v>
      </c>
      <c r="M20" s="1">
        <v>43076</v>
      </c>
      <c r="N20" t="s">
        <v>35</v>
      </c>
      <c r="O20" t="s">
        <v>35</v>
      </c>
      <c r="P20" t="s">
        <v>36</v>
      </c>
      <c r="Q20" s="7">
        <v>54</v>
      </c>
    </row>
    <row r="21" spans="1:17" x14ac:dyDescent="0.3">
      <c r="A21" t="s">
        <v>48</v>
      </c>
      <c r="B21" t="s">
        <v>49</v>
      </c>
      <c r="C21" t="s">
        <v>50</v>
      </c>
      <c r="D21" t="s">
        <v>51</v>
      </c>
      <c r="E21" t="s">
        <v>41</v>
      </c>
      <c r="F21" t="s">
        <v>20</v>
      </c>
      <c r="G21" t="s">
        <v>97</v>
      </c>
      <c r="H21" t="s">
        <v>43</v>
      </c>
      <c r="I21" t="s">
        <v>44</v>
      </c>
      <c r="J21">
        <v>0</v>
      </c>
      <c r="K21" s="1">
        <v>43073</v>
      </c>
      <c r="L21" s="6">
        <v>3</v>
      </c>
      <c r="M21" s="1">
        <v>43076</v>
      </c>
      <c r="N21" t="s">
        <v>35</v>
      </c>
      <c r="O21" t="s">
        <v>35</v>
      </c>
      <c r="P21" t="s">
        <v>25</v>
      </c>
      <c r="Q21" s="7">
        <v>15</v>
      </c>
    </row>
    <row r="22" spans="1:17" x14ac:dyDescent="0.3">
      <c r="A22" t="s">
        <v>64</v>
      </c>
      <c r="B22" t="s">
        <v>65</v>
      </c>
      <c r="C22" t="s">
        <v>66</v>
      </c>
      <c r="D22" t="s">
        <v>67</v>
      </c>
      <c r="E22" t="s">
        <v>41</v>
      </c>
      <c r="F22" t="s">
        <v>20</v>
      </c>
      <c r="G22" t="s">
        <v>98</v>
      </c>
      <c r="H22" t="s">
        <v>22</v>
      </c>
      <c r="I22" t="s">
        <v>34</v>
      </c>
      <c r="J22">
        <v>30</v>
      </c>
      <c r="K22" s="1">
        <v>43071</v>
      </c>
      <c r="L22" s="6">
        <v>10</v>
      </c>
      <c r="M22" s="1">
        <v>43081</v>
      </c>
      <c r="N22" t="s">
        <v>41</v>
      </c>
      <c r="O22" t="s">
        <v>99</v>
      </c>
      <c r="P22" t="s">
        <v>36</v>
      </c>
      <c r="Q22" s="7">
        <v>79</v>
      </c>
    </row>
    <row r="23" spans="1:17" x14ac:dyDescent="0.3">
      <c r="A23" t="s">
        <v>70</v>
      </c>
      <c r="B23" t="s">
        <v>71</v>
      </c>
      <c r="C23" t="s">
        <v>72</v>
      </c>
      <c r="D23" t="s">
        <v>73</v>
      </c>
      <c r="E23" t="s">
        <v>41</v>
      </c>
      <c r="F23" t="s">
        <v>20</v>
      </c>
      <c r="G23" t="s">
        <v>100</v>
      </c>
      <c r="H23" t="s">
        <v>22</v>
      </c>
      <c r="I23" t="s">
        <v>34</v>
      </c>
      <c r="J23">
        <v>30</v>
      </c>
      <c r="K23" s="1">
        <v>43071</v>
      </c>
      <c r="L23" s="6">
        <v>10</v>
      </c>
      <c r="M23" s="1">
        <v>43081</v>
      </c>
      <c r="N23" t="s">
        <v>41</v>
      </c>
      <c r="O23" t="s">
        <v>99</v>
      </c>
      <c r="P23" t="s">
        <v>25</v>
      </c>
      <c r="Q23" s="7">
        <v>79</v>
      </c>
    </row>
    <row r="24" spans="1:17" x14ac:dyDescent="0.3">
      <c r="A24" t="s">
        <v>15</v>
      </c>
      <c r="B24" t="s">
        <v>16</v>
      </c>
      <c r="C24" t="s">
        <v>17</v>
      </c>
      <c r="D24" t="s">
        <v>18</v>
      </c>
      <c r="E24" t="s">
        <v>19</v>
      </c>
      <c r="F24" t="s">
        <v>20</v>
      </c>
      <c r="G24" t="s">
        <v>101</v>
      </c>
      <c r="H24" t="s">
        <v>22</v>
      </c>
      <c r="I24" t="s">
        <v>23</v>
      </c>
      <c r="J24">
        <v>16</v>
      </c>
      <c r="K24" s="1">
        <v>43070</v>
      </c>
      <c r="L24" s="6">
        <v>1</v>
      </c>
      <c r="M24" s="1">
        <v>43071</v>
      </c>
      <c r="N24" t="s">
        <v>30</v>
      </c>
      <c r="O24" t="s">
        <v>35</v>
      </c>
      <c r="P24" t="s">
        <v>25</v>
      </c>
      <c r="Q24" s="7">
        <v>76</v>
      </c>
    </row>
    <row r="25" spans="1:17" x14ac:dyDescent="0.3">
      <c r="A25" t="s">
        <v>26</v>
      </c>
      <c r="B25" t="s">
        <v>27</v>
      </c>
      <c r="C25" t="s">
        <v>28</v>
      </c>
      <c r="D25" t="s">
        <v>29</v>
      </c>
      <c r="E25" t="s">
        <v>30</v>
      </c>
      <c r="F25" t="s">
        <v>31</v>
      </c>
      <c r="G25" t="s">
        <v>102</v>
      </c>
      <c r="H25" t="s">
        <v>33</v>
      </c>
      <c r="I25" t="s">
        <v>34</v>
      </c>
      <c r="J25">
        <v>36</v>
      </c>
      <c r="K25" s="1">
        <v>43070</v>
      </c>
      <c r="L25" s="6">
        <v>10</v>
      </c>
      <c r="M25" s="1">
        <v>43080</v>
      </c>
      <c r="N25" t="s">
        <v>41</v>
      </c>
      <c r="O25" t="s">
        <v>99</v>
      </c>
      <c r="P25" t="s">
        <v>25</v>
      </c>
      <c r="Q25" s="7">
        <v>93</v>
      </c>
    </row>
    <row r="26" spans="1:17" x14ac:dyDescent="0.3">
      <c r="A26" t="s">
        <v>85</v>
      </c>
      <c r="B26" t="s">
        <v>86</v>
      </c>
      <c r="C26" t="s">
        <v>87</v>
      </c>
      <c r="D26" t="s">
        <v>88</v>
      </c>
      <c r="E26" t="s">
        <v>41</v>
      </c>
      <c r="F26" t="s">
        <v>20</v>
      </c>
      <c r="G26" t="s">
        <v>103</v>
      </c>
      <c r="H26" t="s">
        <v>22</v>
      </c>
      <c r="I26" t="s">
        <v>44</v>
      </c>
      <c r="J26">
        <v>7</v>
      </c>
      <c r="K26" s="1">
        <v>43071</v>
      </c>
      <c r="L26" s="6">
        <v>3</v>
      </c>
      <c r="M26" s="1">
        <v>43074</v>
      </c>
      <c r="N26" t="s">
        <v>35</v>
      </c>
      <c r="O26" t="s">
        <v>35</v>
      </c>
      <c r="P26" t="s">
        <v>25</v>
      </c>
      <c r="Q26" s="7">
        <v>28</v>
      </c>
    </row>
    <row r="27" spans="1:17" x14ac:dyDescent="0.3">
      <c r="A27" t="s">
        <v>64</v>
      </c>
      <c r="B27" t="s">
        <v>65</v>
      </c>
      <c r="C27" t="s">
        <v>66</v>
      </c>
      <c r="D27" t="s">
        <v>67</v>
      </c>
      <c r="E27" t="s">
        <v>41</v>
      </c>
      <c r="F27" t="s">
        <v>20</v>
      </c>
      <c r="G27" t="s">
        <v>104</v>
      </c>
      <c r="H27" t="s">
        <v>22</v>
      </c>
      <c r="I27" t="s">
        <v>34</v>
      </c>
      <c r="J27">
        <v>20</v>
      </c>
      <c r="K27" s="1">
        <v>43069</v>
      </c>
      <c r="L27" s="6">
        <v>10</v>
      </c>
      <c r="M27" s="1">
        <v>43079</v>
      </c>
      <c r="N27" t="s">
        <v>41</v>
      </c>
      <c r="O27" t="s">
        <v>99</v>
      </c>
      <c r="P27" t="s">
        <v>25</v>
      </c>
      <c r="Q27" s="7">
        <v>59</v>
      </c>
    </row>
    <row r="28" spans="1:17" x14ac:dyDescent="0.3">
      <c r="A28" t="s">
        <v>70</v>
      </c>
      <c r="B28" t="s">
        <v>71</v>
      </c>
      <c r="C28" t="s">
        <v>72</v>
      </c>
      <c r="D28" t="s">
        <v>73</v>
      </c>
      <c r="E28" t="s">
        <v>41</v>
      </c>
      <c r="F28" t="s">
        <v>20</v>
      </c>
      <c r="G28" t="s">
        <v>105</v>
      </c>
      <c r="H28" t="s">
        <v>43</v>
      </c>
      <c r="I28" t="s">
        <v>23</v>
      </c>
      <c r="J28">
        <v>0</v>
      </c>
      <c r="K28" s="1">
        <v>43069</v>
      </c>
      <c r="L28" s="6">
        <v>1</v>
      </c>
      <c r="M28" s="1">
        <v>43070</v>
      </c>
      <c r="N28" t="s">
        <v>19</v>
      </c>
      <c r="O28" t="s">
        <v>24</v>
      </c>
      <c r="P28" t="s">
        <v>25</v>
      </c>
      <c r="Q28" s="7">
        <v>45</v>
      </c>
    </row>
    <row r="29" spans="1:17" x14ac:dyDescent="0.3">
      <c r="A29" t="s">
        <v>75</v>
      </c>
      <c r="B29" t="s">
        <v>76</v>
      </c>
      <c r="C29" t="s">
        <v>77</v>
      </c>
      <c r="D29" t="s">
        <v>78</v>
      </c>
      <c r="E29" t="s">
        <v>41</v>
      </c>
      <c r="F29" t="s">
        <v>20</v>
      </c>
      <c r="G29" t="s">
        <v>106</v>
      </c>
      <c r="H29" t="s">
        <v>22</v>
      </c>
      <c r="I29" t="s">
        <v>34</v>
      </c>
      <c r="J29">
        <v>7</v>
      </c>
      <c r="K29" s="1">
        <v>43070</v>
      </c>
      <c r="L29" s="6">
        <v>10</v>
      </c>
      <c r="M29" s="1">
        <v>43080</v>
      </c>
      <c r="N29" t="s">
        <v>41</v>
      </c>
      <c r="O29" t="s">
        <v>99</v>
      </c>
      <c r="P29" t="s">
        <v>25</v>
      </c>
      <c r="Q29" s="7">
        <v>33</v>
      </c>
    </row>
    <row r="30" spans="1:17" x14ac:dyDescent="0.3">
      <c r="A30" t="s">
        <v>80</v>
      </c>
      <c r="B30" t="s">
        <v>81</v>
      </c>
      <c r="C30" t="s">
        <v>82</v>
      </c>
      <c r="D30" t="s">
        <v>83</v>
      </c>
      <c r="E30" t="s">
        <v>41</v>
      </c>
      <c r="F30" t="s">
        <v>20</v>
      </c>
      <c r="G30" t="s">
        <v>107</v>
      </c>
      <c r="H30" t="s">
        <v>43</v>
      </c>
      <c r="I30" t="s">
        <v>23</v>
      </c>
      <c r="J30">
        <v>0</v>
      </c>
      <c r="K30" s="1">
        <v>43068</v>
      </c>
      <c r="L30" s="6">
        <v>1</v>
      </c>
      <c r="M30" s="1">
        <v>43069</v>
      </c>
      <c r="N30" t="s">
        <v>19</v>
      </c>
      <c r="O30" t="s">
        <v>24</v>
      </c>
      <c r="P30" t="s">
        <v>25</v>
      </c>
      <c r="Q30" s="7">
        <v>45</v>
      </c>
    </row>
    <row r="31" spans="1:17" x14ac:dyDescent="0.3">
      <c r="A31" t="s">
        <v>37</v>
      </c>
      <c r="B31" t="s">
        <v>38</v>
      </c>
      <c r="C31" t="s">
        <v>39</v>
      </c>
      <c r="D31" t="s">
        <v>40</v>
      </c>
      <c r="E31" t="s">
        <v>41</v>
      </c>
      <c r="F31" t="s">
        <v>20</v>
      </c>
      <c r="G31" t="s">
        <v>108</v>
      </c>
      <c r="H31" t="s">
        <v>33</v>
      </c>
      <c r="I31" t="s">
        <v>34</v>
      </c>
      <c r="J31">
        <v>7</v>
      </c>
      <c r="K31" s="1">
        <v>43070</v>
      </c>
      <c r="L31" s="6">
        <v>10</v>
      </c>
      <c r="M31" s="1">
        <v>43080</v>
      </c>
      <c r="N31" t="s">
        <v>41</v>
      </c>
      <c r="O31" t="s">
        <v>53</v>
      </c>
      <c r="P31" t="s">
        <v>25</v>
      </c>
      <c r="Q31" s="7">
        <v>35</v>
      </c>
    </row>
    <row r="32" spans="1:17" x14ac:dyDescent="0.3">
      <c r="A32" t="s">
        <v>48</v>
      </c>
      <c r="B32" t="s">
        <v>49</v>
      </c>
      <c r="C32" t="s">
        <v>50</v>
      </c>
      <c r="D32" t="s">
        <v>51</v>
      </c>
      <c r="E32" t="s">
        <v>41</v>
      </c>
      <c r="F32" t="s">
        <v>20</v>
      </c>
      <c r="G32" t="s">
        <v>109</v>
      </c>
      <c r="H32" t="s">
        <v>22</v>
      </c>
      <c r="I32" t="s">
        <v>34</v>
      </c>
      <c r="J32">
        <v>30</v>
      </c>
      <c r="K32" s="1">
        <v>43050</v>
      </c>
      <c r="L32" s="6">
        <v>10</v>
      </c>
      <c r="M32" s="1">
        <v>43060</v>
      </c>
      <c r="N32" t="s">
        <v>41</v>
      </c>
      <c r="O32" t="s">
        <v>53</v>
      </c>
      <c r="P32" t="s">
        <v>36</v>
      </c>
      <c r="Q32" s="7">
        <v>79</v>
      </c>
    </row>
    <row r="33" spans="1:17" x14ac:dyDescent="0.3">
      <c r="A33" t="s">
        <v>75</v>
      </c>
      <c r="B33" t="s">
        <v>76</v>
      </c>
      <c r="C33" t="s">
        <v>77</v>
      </c>
      <c r="D33" t="s">
        <v>78</v>
      </c>
      <c r="E33" t="s">
        <v>41</v>
      </c>
      <c r="F33" t="s">
        <v>20</v>
      </c>
      <c r="G33" t="s">
        <v>110</v>
      </c>
      <c r="H33" t="s">
        <v>43</v>
      </c>
      <c r="I33" t="s">
        <v>23</v>
      </c>
      <c r="J33">
        <v>0</v>
      </c>
      <c r="K33" s="1">
        <v>43047</v>
      </c>
      <c r="L33" s="6">
        <v>1</v>
      </c>
      <c r="M33" s="1">
        <v>43048</v>
      </c>
      <c r="N33" t="s">
        <v>19</v>
      </c>
      <c r="O33" t="s">
        <v>24</v>
      </c>
      <c r="P33" t="s">
        <v>25</v>
      </c>
      <c r="Q33" s="7">
        <v>45</v>
      </c>
    </row>
    <row r="34" spans="1:17" x14ac:dyDescent="0.3">
      <c r="A34" t="s">
        <v>80</v>
      </c>
      <c r="B34" t="s">
        <v>81</v>
      </c>
      <c r="C34" t="s">
        <v>82</v>
      </c>
      <c r="D34" t="s">
        <v>83</v>
      </c>
      <c r="E34" t="s">
        <v>41</v>
      </c>
      <c r="F34" t="s">
        <v>20</v>
      </c>
      <c r="G34" t="s">
        <v>111</v>
      </c>
      <c r="H34" t="s">
        <v>33</v>
      </c>
      <c r="I34" t="s">
        <v>23</v>
      </c>
      <c r="J34">
        <v>4</v>
      </c>
      <c r="K34" s="1">
        <v>43047</v>
      </c>
      <c r="L34" s="6">
        <v>1</v>
      </c>
      <c r="M34" s="1">
        <v>43048</v>
      </c>
      <c r="N34" t="s">
        <v>53</v>
      </c>
      <c r="O34" t="s">
        <v>41</v>
      </c>
      <c r="P34" t="s">
        <v>25</v>
      </c>
      <c r="Q34" s="7">
        <v>54</v>
      </c>
    </row>
    <row r="35" spans="1:17" x14ac:dyDescent="0.3">
      <c r="A35" t="s">
        <v>85</v>
      </c>
      <c r="B35" t="s">
        <v>86</v>
      </c>
      <c r="C35" t="s">
        <v>87</v>
      </c>
      <c r="D35" t="s">
        <v>88</v>
      </c>
      <c r="E35" t="s">
        <v>41</v>
      </c>
      <c r="F35" t="s">
        <v>20</v>
      </c>
      <c r="G35" t="s">
        <v>112</v>
      </c>
      <c r="H35" t="s">
        <v>33</v>
      </c>
      <c r="I35" t="s">
        <v>23</v>
      </c>
      <c r="J35">
        <v>20</v>
      </c>
      <c r="K35" s="1">
        <v>43044</v>
      </c>
      <c r="L35" s="6">
        <v>1</v>
      </c>
      <c r="M35" s="1">
        <v>43045</v>
      </c>
      <c r="N35" t="s">
        <v>53</v>
      </c>
      <c r="O35" t="s">
        <v>41</v>
      </c>
      <c r="P35" t="s">
        <v>25</v>
      </c>
      <c r="Q35" s="7">
        <v>86</v>
      </c>
    </row>
    <row r="36" spans="1:17" x14ac:dyDescent="0.3">
      <c r="A36" t="s">
        <v>37</v>
      </c>
      <c r="B36" t="s">
        <v>38</v>
      </c>
      <c r="C36" t="s">
        <v>39</v>
      </c>
      <c r="D36" t="s">
        <v>40</v>
      </c>
      <c r="E36" t="s">
        <v>41</v>
      </c>
      <c r="F36" t="s">
        <v>20</v>
      </c>
      <c r="G36" t="s">
        <v>113</v>
      </c>
      <c r="H36" t="s">
        <v>43</v>
      </c>
      <c r="I36" t="s">
        <v>23</v>
      </c>
      <c r="J36">
        <v>0</v>
      </c>
      <c r="K36" s="1">
        <v>43046</v>
      </c>
      <c r="L36" s="6">
        <v>1</v>
      </c>
      <c r="M36" s="1">
        <v>43047</v>
      </c>
      <c r="N36" t="s">
        <v>30</v>
      </c>
      <c r="O36" t="s">
        <v>35</v>
      </c>
      <c r="P36" t="s">
        <v>25</v>
      </c>
      <c r="Q36" s="7">
        <v>45</v>
      </c>
    </row>
    <row r="37" spans="1:17" x14ac:dyDescent="0.3">
      <c r="A37" t="s">
        <v>48</v>
      </c>
      <c r="B37" t="s">
        <v>49</v>
      </c>
      <c r="C37" t="s">
        <v>50</v>
      </c>
      <c r="D37" t="s">
        <v>51</v>
      </c>
      <c r="E37" t="s">
        <v>41</v>
      </c>
      <c r="F37" t="s">
        <v>20</v>
      </c>
      <c r="G37" t="s">
        <v>114</v>
      </c>
      <c r="H37" t="s">
        <v>33</v>
      </c>
      <c r="I37" t="s">
        <v>34</v>
      </c>
      <c r="J37">
        <v>16</v>
      </c>
      <c r="K37" s="1">
        <v>43044</v>
      </c>
      <c r="L37" s="6">
        <v>10</v>
      </c>
      <c r="M37" s="1">
        <v>43054</v>
      </c>
      <c r="N37" t="s">
        <v>41</v>
      </c>
      <c r="O37" t="s">
        <v>30</v>
      </c>
      <c r="P37" t="s">
        <v>25</v>
      </c>
      <c r="Q37" s="7">
        <v>53</v>
      </c>
    </row>
    <row r="38" spans="1:17" x14ac:dyDescent="0.3">
      <c r="A38" t="s">
        <v>85</v>
      </c>
      <c r="B38" t="s">
        <v>86</v>
      </c>
      <c r="C38" t="s">
        <v>87</v>
      </c>
      <c r="D38" t="s">
        <v>88</v>
      </c>
      <c r="E38" t="s">
        <v>41</v>
      </c>
      <c r="F38" t="s">
        <v>20</v>
      </c>
      <c r="G38" t="s">
        <v>115</v>
      </c>
      <c r="H38" t="s">
        <v>43</v>
      </c>
      <c r="I38" t="s">
        <v>34</v>
      </c>
      <c r="J38">
        <v>0</v>
      </c>
      <c r="K38" s="1">
        <v>43044</v>
      </c>
      <c r="L38" s="6">
        <v>10</v>
      </c>
      <c r="M38" s="1">
        <v>43054</v>
      </c>
      <c r="N38" t="s">
        <v>41</v>
      </c>
      <c r="O38" t="s">
        <v>99</v>
      </c>
      <c r="P38" t="s">
        <v>36</v>
      </c>
      <c r="Q38" s="7">
        <v>20</v>
      </c>
    </row>
    <row r="39" spans="1:17" x14ac:dyDescent="0.3">
      <c r="A39" t="s">
        <v>15</v>
      </c>
      <c r="B39" t="s">
        <v>16</v>
      </c>
      <c r="C39" t="s">
        <v>17</v>
      </c>
      <c r="D39" t="s">
        <v>18</v>
      </c>
      <c r="E39" t="s">
        <v>19</v>
      </c>
      <c r="F39" t="s">
        <v>20</v>
      </c>
      <c r="G39" t="s">
        <v>116</v>
      </c>
      <c r="H39" t="s">
        <v>22</v>
      </c>
      <c r="I39" t="s">
        <v>44</v>
      </c>
      <c r="J39">
        <v>30</v>
      </c>
      <c r="K39" s="1">
        <v>43043</v>
      </c>
      <c r="L39" s="6">
        <v>3</v>
      </c>
      <c r="M39" s="1">
        <v>43046</v>
      </c>
      <c r="N39" t="s">
        <v>35</v>
      </c>
      <c r="O39" t="s">
        <v>35</v>
      </c>
      <c r="P39" t="s">
        <v>47</v>
      </c>
      <c r="Q39" s="7">
        <v>74</v>
      </c>
    </row>
    <row r="40" spans="1:17" x14ac:dyDescent="0.3">
      <c r="A40" t="s">
        <v>26</v>
      </c>
      <c r="B40" t="s">
        <v>27</v>
      </c>
      <c r="C40" t="s">
        <v>28</v>
      </c>
      <c r="D40" t="s">
        <v>29</v>
      </c>
      <c r="E40" t="s">
        <v>30</v>
      </c>
      <c r="F40" t="s">
        <v>31</v>
      </c>
      <c r="G40" t="s">
        <v>117</v>
      </c>
      <c r="H40" t="s">
        <v>22</v>
      </c>
      <c r="I40" t="s">
        <v>34</v>
      </c>
      <c r="J40">
        <v>7</v>
      </c>
      <c r="K40" s="1">
        <v>43041</v>
      </c>
      <c r="L40" s="6">
        <v>10</v>
      </c>
      <c r="M40" s="1">
        <v>43051</v>
      </c>
      <c r="N40" t="s">
        <v>41</v>
      </c>
      <c r="O40" t="s">
        <v>30</v>
      </c>
      <c r="P40" t="s">
        <v>25</v>
      </c>
      <c r="Q40" s="7">
        <v>33</v>
      </c>
    </row>
    <row r="41" spans="1:17" x14ac:dyDescent="0.3">
      <c r="A41" t="s">
        <v>54</v>
      </c>
      <c r="B41" t="s">
        <v>55</v>
      </c>
      <c r="C41" t="s">
        <v>56</v>
      </c>
      <c r="D41" t="s">
        <v>57</v>
      </c>
      <c r="E41" t="s">
        <v>35</v>
      </c>
      <c r="F41" t="s">
        <v>20</v>
      </c>
      <c r="G41" t="s">
        <v>118</v>
      </c>
      <c r="H41" t="s">
        <v>43</v>
      </c>
      <c r="I41" t="s">
        <v>34</v>
      </c>
      <c r="J41">
        <v>0</v>
      </c>
      <c r="K41" s="1">
        <v>43041</v>
      </c>
      <c r="L41" s="6">
        <v>10</v>
      </c>
      <c r="M41" s="1">
        <v>43051</v>
      </c>
      <c r="N41" t="s">
        <v>41</v>
      </c>
      <c r="O41" t="s">
        <v>99</v>
      </c>
      <c r="P41" t="s">
        <v>36</v>
      </c>
      <c r="Q41" s="7">
        <v>20</v>
      </c>
    </row>
    <row r="42" spans="1:17" x14ac:dyDescent="0.3">
      <c r="A42" t="s">
        <v>59</v>
      </c>
      <c r="B42" t="s">
        <v>60</v>
      </c>
      <c r="C42" t="s">
        <v>61</v>
      </c>
      <c r="D42" t="s">
        <v>62</v>
      </c>
      <c r="E42" t="s">
        <v>45</v>
      </c>
      <c r="F42" t="s">
        <v>20</v>
      </c>
      <c r="G42" t="s">
        <v>119</v>
      </c>
      <c r="H42" t="s">
        <v>22</v>
      </c>
      <c r="I42" t="s">
        <v>44</v>
      </c>
      <c r="J42">
        <v>7</v>
      </c>
      <c r="K42" s="1">
        <v>43041</v>
      </c>
      <c r="L42" s="6">
        <v>3</v>
      </c>
      <c r="M42" s="1">
        <v>43044</v>
      </c>
      <c r="N42" t="s">
        <v>19</v>
      </c>
      <c r="O42" t="s">
        <v>19</v>
      </c>
      <c r="P42" t="s">
        <v>25</v>
      </c>
      <c r="Q42" s="7">
        <v>28</v>
      </c>
    </row>
    <row r="43" spans="1:17" x14ac:dyDescent="0.3">
      <c r="A43" t="s">
        <v>85</v>
      </c>
      <c r="B43" t="s">
        <v>86</v>
      </c>
      <c r="C43" t="s">
        <v>87</v>
      </c>
      <c r="D43" t="s">
        <v>88</v>
      </c>
      <c r="E43" t="s">
        <v>41</v>
      </c>
      <c r="F43" t="s">
        <v>20</v>
      </c>
      <c r="G43" t="s">
        <v>120</v>
      </c>
      <c r="H43" t="s">
        <v>43</v>
      </c>
      <c r="I43" t="s">
        <v>44</v>
      </c>
      <c r="J43">
        <v>0</v>
      </c>
      <c r="K43" s="1">
        <v>43041</v>
      </c>
      <c r="L43" s="6">
        <v>3</v>
      </c>
      <c r="M43" s="1">
        <v>43044</v>
      </c>
      <c r="N43" t="s">
        <v>41</v>
      </c>
      <c r="O43" t="s">
        <v>41</v>
      </c>
      <c r="P43" t="s">
        <v>25</v>
      </c>
      <c r="Q43" s="7">
        <v>15</v>
      </c>
    </row>
    <row r="44" spans="1:17" x14ac:dyDescent="0.3">
      <c r="A44" t="s">
        <v>37</v>
      </c>
      <c r="B44" t="s">
        <v>38</v>
      </c>
      <c r="C44" t="s">
        <v>39</v>
      </c>
      <c r="D44" t="s">
        <v>40</v>
      </c>
      <c r="E44" t="s">
        <v>41</v>
      </c>
      <c r="F44" t="s">
        <v>20</v>
      </c>
      <c r="G44" t="s">
        <v>121</v>
      </c>
      <c r="H44" t="s">
        <v>33</v>
      </c>
      <c r="I44" t="s">
        <v>44</v>
      </c>
      <c r="J44">
        <v>20</v>
      </c>
      <c r="K44" s="1">
        <v>43041</v>
      </c>
      <c r="L44" s="6">
        <v>3</v>
      </c>
      <c r="M44" s="1">
        <v>43044</v>
      </c>
      <c r="N44" t="s">
        <v>41</v>
      </c>
      <c r="O44" t="s">
        <v>41</v>
      </c>
      <c r="P44" t="s">
        <v>36</v>
      </c>
      <c r="Q44" s="7">
        <v>56</v>
      </c>
    </row>
    <row r="45" spans="1:17" x14ac:dyDescent="0.3">
      <c r="A45" t="s">
        <v>48</v>
      </c>
      <c r="B45" t="s">
        <v>49</v>
      </c>
      <c r="C45" t="s">
        <v>50</v>
      </c>
      <c r="D45" t="s">
        <v>51</v>
      </c>
      <c r="E45" t="s">
        <v>41</v>
      </c>
      <c r="F45" t="s">
        <v>20</v>
      </c>
      <c r="G45" t="s">
        <v>122</v>
      </c>
      <c r="H45" t="s">
        <v>33</v>
      </c>
      <c r="I45" t="s">
        <v>44</v>
      </c>
      <c r="J45">
        <v>4</v>
      </c>
      <c r="K45" s="1">
        <v>43040</v>
      </c>
      <c r="L45" s="6">
        <v>3</v>
      </c>
      <c r="M45" s="1">
        <v>43043</v>
      </c>
      <c r="N45" t="s">
        <v>30</v>
      </c>
      <c r="O45" t="s">
        <v>30</v>
      </c>
      <c r="P45" t="s">
        <v>25</v>
      </c>
      <c r="Q45" s="7">
        <v>24</v>
      </c>
    </row>
    <row r="46" spans="1:17" x14ac:dyDescent="0.3">
      <c r="A46" t="s">
        <v>85</v>
      </c>
      <c r="B46" t="s">
        <v>86</v>
      </c>
      <c r="C46" t="s">
        <v>87</v>
      </c>
      <c r="D46" t="s">
        <v>88</v>
      </c>
      <c r="E46" t="s">
        <v>41</v>
      </c>
      <c r="F46" t="s">
        <v>20</v>
      </c>
      <c r="G46" t="s">
        <v>123</v>
      </c>
      <c r="H46" t="s">
        <v>22</v>
      </c>
      <c r="I46" t="s">
        <v>44</v>
      </c>
      <c r="J46">
        <v>23</v>
      </c>
      <c r="K46" s="1">
        <v>43039</v>
      </c>
      <c r="L46" s="6">
        <v>3</v>
      </c>
      <c r="M46" s="1">
        <v>43042</v>
      </c>
      <c r="N46" t="s">
        <v>41</v>
      </c>
      <c r="O46" t="s">
        <v>41</v>
      </c>
      <c r="P46" t="s">
        <v>47</v>
      </c>
      <c r="Q46" s="7">
        <v>60</v>
      </c>
    </row>
    <row r="47" spans="1:17" x14ac:dyDescent="0.3">
      <c r="A47" t="s">
        <v>15</v>
      </c>
      <c r="B47" t="s">
        <v>16</v>
      </c>
      <c r="C47" t="s">
        <v>17</v>
      </c>
      <c r="D47" t="s">
        <v>18</v>
      </c>
      <c r="E47" t="s">
        <v>19</v>
      </c>
      <c r="F47" t="s">
        <v>20</v>
      </c>
      <c r="G47" t="s">
        <v>124</v>
      </c>
      <c r="H47" t="s">
        <v>43</v>
      </c>
      <c r="I47" t="s">
        <v>34</v>
      </c>
      <c r="J47">
        <v>0</v>
      </c>
      <c r="K47" s="1">
        <v>43040</v>
      </c>
      <c r="L47" s="6">
        <v>10</v>
      </c>
      <c r="M47" s="1">
        <v>43050</v>
      </c>
      <c r="N47" t="s">
        <v>41</v>
      </c>
      <c r="O47" t="s">
        <v>30</v>
      </c>
      <c r="P47" t="s">
        <v>36</v>
      </c>
      <c r="Q47" s="7">
        <v>20</v>
      </c>
    </row>
    <row r="48" spans="1:17" x14ac:dyDescent="0.3">
      <c r="A48" t="s">
        <v>26</v>
      </c>
      <c r="B48" t="s">
        <v>27</v>
      </c>
      <c r="C48" t="s">
        <v>28</v>
      </c>
      <c r="D48" t="s">
        <v>29</v>
      </c>
      <c r="E48" t="s">
        <v>30</v>
      </c>
      <c r="F48" t="s">
        <v>31</v>
      </c>
      <c r="G48" t="s">
        <v>125</v>
      </c>
      <c r="H48" t="s">
        <v>33</v>
      </c>
      <c r="I48" t="s">
        <v>34</v>
      </c>
      <c r="J48">
        <v>16</v>
      </c>
      <c r="K48" s="1">
        <v>43040</v>
      </c>
      <c r="L48" s="6">
        <v>10</v>
      </c>
      <c r="M48" s="1">
        <v>43050</v>
      </c>
      <c r="N48" t="s">
        <v>41</v>
      </c>
      <c r="O48" t="s">
        <v>30</v>
      </c>
      <c r="P48" t="s">
        <v>25</v>
      </c>
      <c r="Q48" s="7">
        <v>53</v>
      </c>
    </row>
    <row r="49" spans="1:17" x14ac:dyDescent="0.3">
      <c r="A49" t="s">
        <v>85</v>
      </c>
      <c r="B49" t="s">
        <v>86</v>
      </c>
      <c r="C49" t="s">
        <v>87</v>
      </c>
      <c r="D49" t="s">
        <v>88</v>
      </c>
      <c r="E49" t="s">
        <v>41</v>
      </c>
      <c r="F49" t="s">
        <v>20</v>
      </c>
      <c r="G49" t="s">
        <v>126</v>
      </c>
      <c r="H49" t="s">
        <v>22</v>
      </c>
      <c r="I49" t="s">
        <v>44</v>
      </c>
      <c r="J49">
        <v>23</v>
      </c>
      <c r="K49" s="1">
        <v>43040</v>
      </c>
      <c r="L49" s="6">
        <v>3</v>
      </c>
      <c r="M49" s="1">
        <v>43043</v>
      </c>
      <c r="N49" t="s">
        <v>99</v>
      </c>
      <c r="O49" t="s">
        <v>99</v>
      </c>
      <c r="P49" t="s">
        <v>36</v>
      </c>
      <c r="Q49" s="7">
        <v>60</v>
      </c>
    </row>
    <row r="50" spans="1:17" x14ac:dyDescent="0.3">
      <c r="A50" t="s">
        <v>37</v>
      </c>
      <c r="B50" t="s">
        <v>38</v>
      </c>
      <c r="C50" t="s">
        <v>39</v>
      </c>
      <c r="D50" t="s">
        <v>40</v>
      </c>
      <c r="E50" t="s">
        <v>41</v>
      </c>
      <c r="F50" t="s">
        <v>20</v>
      </c>
      <c r="G50" t="s">
        <v>127</v>
      </c>
      <c r="H50" t="s">
        <v>43</v>
      </c>
      <c r="I50" t="s">
        <v>44</v>
      </c>
      <c r="J50">
        <v>0</v>
      </c>
      <c r="K50" s="1">
        <v>43039</v>
      </c>
      <c r="L50" s="6">
        <v>3</v>
      </c>
      <c r="M50" s="1">
        <v>43042</v>
      </c>
      <c r="N50" t="s">
        <v>19</v>
      </c>
      <c r="O50" t="s">
        <v>19</v>
      </c>
      <c r="P50" t="s">
        <v>25</v>
      </c>
      <c r="Q50" s="7">
        <v>15</v>
      </c>
    </row>
    <row r="51" spans="1:17" x14ac:dyDescent="0.3">
      <c r="A51" t="s">
        <v>48</v>
      </c>
      <c r="B51" t="s">
        <v>49</v>
      </c>
      <c r="C51" t="s">
        <v>50</v>
      </c>
      <c r="D51" t="s">
        <v>51</v>
      </c>
      <c r="E51" t="s">
        <v>41</v>
      </c>
      <c r="F51" t="s">
        <v>20</v>
      </c>
      <c r="G51" t="s">
        <v>128</v>
      </c>
      <c r="H51" t="s">
        <v>33</v>
      </c>
      <c r="I51" t="s">
        <v>44</v>
      </c>
      <c r="J51">
        <v>16</v>
      </c>
      <c r="K51" s="1">
        <v>43038</v>
      </c>
      <c r="L51" s="6">
        <v>3</v>
      </c>
      <c r="M51" s="1">
        <v>43041</v>
      </c>
      <c r="N51" t="s">
        <v>30</v>
      </c>
      <c r="O51" t="s">
        <v>30</v>
      </c>
      <c r="P51" t="s">
        <v>36</v>
      </c>
      <c r="Q51" s="7">
        <v>48</v>
      </c>
    </row>
    <row r="52" spans="1:17" x14ac:dyDescent="0.3">
      <c r="A52" t="s">
        <v>75</v>
      </c>
      <c r="B52" t="s">
        <v>76</v>
      </c>
      <c r="C52" t="s">
        <v>77</v>
      </c>
      <c r="D52" t="s">
        <v>78</v>
      </c>
      <c r="E52" t="s">
        <v>41</v>
      </c>
      <c r="F52" t="s">
        <v>20</v>
      </c>
      <c r="G52" t="s">
        <v>129</v>
      </c>
      <c r="H52" t="s">
        <v>22</v>
      </c>
      <c r="I52" t="s">
        <v>44</v>
      </c>
      <c r="J52">
        <v>23</v>
      </c>
      <c r="K52" s="1">
        <v>43039</v>
      </c>
      <c r="L52" s="6">
        <v>3</v>
      </c>
      <c r="M52" s="1">
        <v>43042</v>
      </c>
      <c r="N52" t="s">
        <v>41</v>
      </c>
      <c r="O52" t="s">
        <v>41</v>
      </c>
      <c r="P52" t="s">
        <v>25</v>
      </c>
      <c r="Q52" s="7">
        <v>60</v>
      </c>
    </row>
    <row r="53" spans="1:17" x14ac:dyDescent="0.3">
      <c r="A53" t="s">
        <v>80</v>
      </c>
      <c r="B53" t="s">
        <v>81</v>
      </c>
      <c r="C53" t="s">
        <v>82</v>
      </c>
      <c r="D53" t="s">
        <v>83</v>
      </c>
      <c r="E53" t="s">
        <v>41</v>
      </c>
      <c r="F53" t="s">
        <v>20</v>
      </c>
      <c r="G53" t="s">
        <v>130</v>
      </c>
      <c r="H53" t="s">
        <v>43</v>
      </c>
      <c r="I53" t="s">
        <v>44</v>
      </c>
      <c r="J53">
        <v>0</v>
      </c>
      <c r="K53" s="1">
        <v>43036</v>
      </c>
      <c r="L53" s="6">
        <v>3</v>
      </c>
      <c r="M53" s="1">
        <v>43039</v>
      </c>
      <c r="N53" t="s">
        <v>99</v>
      </c>
      <c r="O53" t="s">
        <v>99</v>
      </c>
      <c r="P53" t="s">
        <v>47</v>
      </c>
      <c r="Q53" s="7">
        <v>15</v>
      </c>
    </row>
    <row r="54" spans="1:17" x14ac:dyDescent="0.3">
      <c r="A54" t="s">
        <v>15</v>
      </c>
      <c r="B54" t="s">
        <v>16</v>
      </c>
      <c r="C54" t="s">
        <v>17</v>
      </c>
      <c r="D54" t="s">
        <v>18</v>
      </c>
      <c r="E54" t="s">
        <v>19</v>
      </c>
      <c r="F54" t="s">
        <v>20</v>
      </c>
      <c r="G54" t="s">
        <v>131</v>
      </c>
      <c r="H54" t="s">
        <v>22</v>
      </c>
      <c r="I54" t="s">
        <v>44</v>
      </c>
      <c r="J54">
        <v>16</v>
      </c>
      <c r="K54" s="1">
        <v>43036</v>
      </c>
      <c r="L54" s="6">
        <v>3</v>
      </c>
      <c r="M54" s="1">
        <v>43039</v>
      </c>
      <c r="N54" t="s">
        <v>19</v>
      </c>
      <c r="O54" t="s">
        <v>19</v>
      </c>
      <c r="P54" t="s">
        <v>47</v>
      </c>
      <c r="Q54" s="7">
        <v>46</v>
      </c>
    </row>
    <row r="55" spans="1:17" x14ac:dyDescent="0.3">
      <c r="A55" t="s">
        <v>26</v>
      </c>
      <c r="B55" t="s">
        <v>27</v>
      </c>
      <c r="C55" t="s">
        <v>28</v>
      </c>
      <c r="D55" t="s">
        <v>29</v>
      </c>
      <c r="E55" t="s">
        <v>30</v>
      </c>
      <c r="F55" t="s">
        <v>31</v>
      </c>
      <c r="G55" t="s">
        <v>132</v>
      </c>
      <c r="H55" t="s">
        <v>22</v>
      </c>
      <c r="I55" t="s">
        <v>44</v>
      </c>
      <c r="J55">
        <v>30</v>
      </c>
      <c r="K55" s="1">
        <v>43036</v>
      </c>
      <c r="L55" s="6">
        <v>3</v>
      </c>
      <c r="M55" s="1">
        <v>43039</v>
      </c>
      <c r="N55" t="s">
        <v>99</v>
      </c>
      <c r="O55" t="s">
        <v>99</v>
      </c>
      <c r="P55" t="s">
        <v>25</v>
      </c>
      <c r="Q55" s="7">
        <v>74</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7789-D124-49FD-93EF-AFCE02B0C2D1}">
  <dimension ref="A1:J52"/>
  <sheetViews>
    <sheetView topLeftCell="A13" workbookViewId="0">
      <selection activeCell="E29" sqref="E29:E32"/>
    </sheetView>
  </sheetViews>
  <sheetFormatPr defaultRowHeight="14.4" x14ac:dyDescent="0.3"/>
  <cols>
    <col min="1" max="1" width="17.33203125" bestFit="1" customWidth="1"/>
    <col min="2" max="2" width="21" bestFit="1" customWidth="1"/>
    <col min="3" max="3" width="19.109375" bestFit="1" customWidth="1"/>
    <col min="4" max="4" width="23.109375" bestFit="1" customWidth="1"/>
    <col min="5" max="5" width="23" bestFit="1" customWidth="1"/>
    <col min="6" max="6" width="13.6640625" bestFit="1" customWidth="1"/>
    <col min="7" max="7" width="17.33203125" bestFit="1" customWidth="1"/>
    <col min="8" max="9" width="24.109375" bestFit="1" customWidth="1"/>
    <col min="10" max="10" width="14.88671875" bestFit="1" customWidth="1"/>
    <col min="11" max="11" width="9.88671875" bestFit="1" customWidth="1"/>
  </cols>
  <sheetData>
    <row r="1" spans="1:10" ht="14.4" customHeight="1" x14ac:dyDescent="0.3">
      <c r="A1" s="22" t="s">
        <v>164</v>
      </c>
      <c r="B1" s="22"/>
      <c r="C1" s="22"/>
    </row>
    <row r="2" spans="1:10" ht="14.4" customHeight="1" x14ac:dyDescent="0.3">
      <c r="A2" s="22"/>
      <c r="B2" s="22"/>
      <c r="C2" s="22"/>
    </row>
    <row r="3" spans="1:10" ht="14.4" customHeight="1" x14ac:dyDescent="0.3">
      <c r="A3" s="22"/>
      <c r="B3" s="22"/>
      <c r="C3" s="22"/>
    </row>
    <row r="4" spans="1:10" ht="14.4" customHeight="1" x14ac:dyDescent="0.3">
      <c r="A4" s="22"/>
      <c r="B4" s="22"/>
      <c r="C4" s="22"/>
    </row>
    <row r="5" spans="1:10" ht="14.4" customHeight="1" x14ac:dyDescent="0.3">
      <c r="A5" s="22"/>
      <c r="B5" s="22"/>
      <c r="C5" s="22"/>
    </row>
    <row r="10" spans="1:10" x14ac:dyDescent="0.3">
      <c r="A10" s="10" t="s">
        <v>136</v>
      </c>
      <c r="B10" s="10" t="s">
        <v>137</v>
      </c>
      <c r="C10" s="10" t="s">
        <v>138</v>
      </c>
      <c r="D10" s="10" t="s">
        <v>13</v>
      </c>
      <c r="E10" s="10" t="s">
        <v>139</v>
      </c>
      <c r="F10" s="10" t="s">
        <v>13</v>
      </c>
      <c r="G10" s="10" t="s">
        <v>140</v>
      </c>
      <c r="I10" s="10" t="s">
        <v>141</v>
      </c>
      <c r="J10" s="10" t="s">
        <v>142</v>
      </c>
    </row>
    <row r="11" spans="1:10" x14ac:dyDescent="0.3">
      <c r="A11">
        <v>54</v>
      </c>
      <c r="B11" s="8">
        <v>2515</v>
      </c>
      <c r="C11" s="4">
        <v>4.4629629629629628</v>
      </c>
      <c r="D11" s="2" t="s">
        <v>47</v>
      </c>
      <c r="E11">
        <v>8</v>
      </c>
      <c r="F11" s="2" t="s">
        <v>25</v>
      </c>
      <c r="G11" s="9">
        <v>0.62962962962962965</v>
      </c>
      <c r="I11" s="2" t="s">
        <v>86</v>
      </c>
      <c r="J11">
        <v>8</v>
      </c>
    </row>
    <row r="12" spans="1:10" x14ac:dyDescent="0.3">
      <c r="F12" s="2" t="s">
        <v>36</v>
      </c>
      <c r="G12" s="5">
        <v>0.22222222222222221</v>
      </c>
    </row>
    <row r="13" spans="1:10" x14ac:dyDescent="0.3">
      <c r="F13" s="2" t="s">
        <v>47</v>
      </c>
      <c r="G13" s="5">
        <v>0.14814814814814814</v>
      </c>
    </row>
    <row r="14" spans="1:10" x14ac:dyDescent="0.3">
      <c r="F14" s="13" t="s">
        <v>133</v>
      </c>
      <c r="G14" s="13">
        <v>1</v>
      </c>
    </row>
    <row r="15" spans="1:10" x14ac:dyDescent="0.3">
      <c r="A15" s="14">
        <f>$A$11</f>
        <v>54</v>
      </c>
      <c r="B15" s="15">
        <f>$B$11</f>
        <v>2515</v>
      </c>
      <c r="C15" s="16">
        <f>$C$11</f>
        <v>4.4629629629629628</v>
      </c>
      <c r="D15" s="14">
        <f>$E$11</f>
        <v>8</v>
      </c>
      <c r="E15" s="17">
        <f>$G$11</f>
        <v>0.62962962962962965</v>
      </c>
      <c r="F15" s="14" t="str">
        <f>$I$11</f>
        <v>Mervat Mahmoud</v>
      </c>
    </row>
    <row r="18" spans="1:8" x14ac:dyDescent="0.3">
      <c r="A18" s="11" t="s">
        <v>154</v>
      </c>
      <c r="B18" s="11"/>
      <c r="D18" s="21" t="s">
        <v>155</v>
      </c>
      <c r="E18" s="21"/>
      <c r="G18" s="21" t="s">
        <v>156</v>
      </c>
      <c r="H18" s="21"/>
    </row>
    <row r="19" spans="1:8" x14ac:dyDescent="0.3">
      <c r="A19" s="13" t="s">
        <v>144</v>
      </c>
      <c r="B19" s="13" t="s">
        <v>143</v>
      </c>
      <c r="D19" s="13" t="s">
        <v>145</v>
      </c>
      <c r="E19" s="13" t="s">
        <v>151</v>
      </c>
      <c r="G19" s="13" t="s">
        <v>4</v>
      </c>
      <c r="H19" s="13" t="s">
        <v>146</v>
      </c>
    </row>
    <row r="20" spans="1:8" x14ac:dyDescent="0.3">
      <c r="A20" s="2" t="s">
        <v>23</v>
      </c>
      <c r="B20">
        <v>13</v>
      </c>
      <c r="D20" s="2" t="s">
        <v>43</v>
      </c>
      <c r="E20" s="8">
        <v>465</v>
      </c>
      <c r="G20" s="2" t="s">
        <v>41</v>
      </c>
      <c r="H20">
        <v>38</v>
      </c>
    </row>
    <row r="21" spans="1:8" x14ac:dyDescent="0.3">
      <c r="A21" s="2" t="s">
        <v>34</v>
      </c>
      <c r="B21">
        <v>15</v>
      </c>
      <c r="D21" s="2" t="s">
        <v>33</v>
      </c>
      <c r="E21" s="8">
        <v>886</v>
      </c>
      <c r="G21" s="2" t="s">
        <v>19</v>
      </c>
      <c r="H21">
        <v>5</v>
      </c>
    </row>
    <row r="22" spans="1:8" x14ac:dyDescent="0.3">
      <c r="A22" s="2" t="s">
        <v>44</v>
      </c>
      <c r="B22">
        <v>26</v>
      </c>
      <c r="D22" s="2" t="s">
        <v>22</v>
      </c>
      <c r="E22" s="8">
        <v>1164</v>
      </c>
      <c r="G22" s="2" t="s">
        <v>30</v>
      </c>
      <c r="H22">
        <v>5</v>
      </c>
    </row>
    <row r="23" spans="1:8" x14ac:dyDescent="0.3">
      <c r="A23" s="13" t="s">
        <v>133</v>
      </c>
      <c r="B23" s="13">
        <v>54</v>
      </c>
      <c r="D23" s="13" t="s">
        <v>133</v>
      </c>
      <c r="E23" s="13">
        <v>2515</v>
      </c>
      <c r="G23" s="2" t="s">
        <v>45</v>
      </c>
      <c r="H23">
        <v>3</v>
      </c>
    </row>
    <row r="24" spans="1:8" x14ac:dyDescent="0.3">
      <c r="G24" s="2" t="s">
        <v>35</v>
      </c>
      <c r="H24">
        <v>3</v>
      </c>
    </row>
    <row r="25" spans="1:8" x14ac:dyDescent="0.3">
      <c r="G25" s="13" t="s">
        <v>133</v>
      </c>
      <c r="H25" s="13">
        <v>54</v>
      </c>
    </row>
    <row r="27" spans="1:8" x14ac:dyDescent="0.3">
      <c r="A27" s="21" t="s">
        <v>157</v>
      </c>
      <c r="B27" s="21"/>
      <c r="D27" s="21" t="s">
        <v>158</v>
      </c>
      <c r="E27" s="21"/>
      <c r="G27" s="21" t="s">
        <v>160</v>
      </c>
      <c r="H27" s="21"/>
    </row>
    <row r="28" spans="1:8" x14ac:dyDescent="0.3">
      <c r="A28" s="13" t="s">
        <v>144</v>
      </c>
      <c r="B28" s="13" t="s">
        <v>138</v>
      </c>
      <c r="D28" s="13" t="s">
        <v>159</v>
      </c>
      <c r="E28" s="13" t="s">
        <v>151</v>
      </c>
      <c r="G28" s="13" t="s">
        <v>152</v>
      </c>
      <c r="H28" s="13" t="s">
        <v>162</v>
      </c>
    </row>
    <row r="29" spans="1:8" x14ac:dyDescent="0.3">
      <c r="A29" s="2" t="s">
        <v>34</v>
      </c>
      <c r="B29">
        <v>10</v>
      </c>
      <c r="D29" s="2" t="s">
        <v>147</v>
      </c>
      <c r="E29" s="8">
        <v>421</v>
      </c>
      <c r="G29" s="2" t="s">
        <v>53</v>
      </c>
      <c r="H29" s="3">
        <v>10</v>
      </c>
    </row>
    <row r="30" spans="1:8" x14ac:dyDescent="0.3">
      <c r="A30" s="2" t="s">
        <v>44</v>
      </c>
      <c r="B30">
        <v>3</v>
      </c>
      <c r="D30" s="2" t="s">
        <v>148</v>
      </c>
      <c r="E30" s="8">
        <v>318</v>
      </c>
      <c r="G30" s="2" t="s">
        <v>99</v>
      </c>
      <c r="H30" s="3">
        <v>7.9</v>
      </c>
    </row>
    <row r="31" spans="1:8" x14ac:dyDescent="0.3">
      <c r="A31" s="2" t="s">
        <v>23</v>
      </c>
      <c r="B31">
        <v>1</v>
      </c>
      <c r="D31" s="2" t="s">
        <v>149</v>
      </c>
      <c r="E31" s="8">
        <v>914</v>
      </c>
      <c r="G31" s="2" t="s">
        <v>30</v>
      </c>
      <c r="H31" s="3">
        <v>7</v>
      </c>
    </row>
    <row r="32" spans="1:8" x14ac:dyDescent="0.3">
      <c r="A32" s="13" t="s">
        <v>133</v>
      </c>
      <c r="B32" s="18">
        <v>4.4629629629629628</v>
      </c>
      <c r="D32" s="2" t="s">
        <v>150</v>
      </c>
      <c r="E32" s="8">
        <v>862</v>
      </c>
      <c r="G32" s="2" t="s">
        <v>45</v>
      </c>
      <c r="H32" s="3">
        <v>3</v>
      </c>
    </row>
    <row r="33" spans="1:8" x14ac:dyDescent="0.3">
      <c r="D33" s="13" t="s">
        <v>133</v>
      </c>
      <c r="E33" s="13">
        <v>2515</v>
      </c>
      <c r="G33" s="2" t="s">
        <v>19</v>
      </c>
      <c r="H33" s="3">
        <v>3</v>
      </c>
    </row>
    <row r="34" spans="1:8" x14ac:dyDescent="0.3">
      <c r="B34" s="12"/>
      <c r="G34" s="2" t="s">
        <v>35</v>
      </c>
      <c r="H34" s="3">
        <v>2.8888888888888888</v>
      </c>
    </row>
    <row r="35" spans="1:8" x14ac:dyDescent="0.3">
      <c r="A35" s="21" t="s">
        <v>161</v>
      </c>
      <c r="B35" s="21"/>
      <c r="D35" t="str">
        <f t="shared" ref="D35:E42" si="0">A36</f>
        <v>Origin Country</v>
      </c>
      <c r="E35" t="str">
        <f t="shared" si="0"/>
        <v>Number Of Orders</v>
      </c>
      <c r="G35" s="2" t="s">
        <v>41</v>
      </c>
      <c r="H35" s="3">
        <v>2.4285714285714284</v>
      </c>
    </row>
    <row r="36" spans="1:8" x14ac:dyDescent="0.3">
      <c r="A36" s="13" t="s">
        <v>153</v>
      </c>
      <c r="B36" s="13" t="s">
        <v>143</v>
      </c>
      <c r="D36" t="str">
        <f t="shared" si="0"/>
        <v>Egypt</v>
      </c>
      <c r="E36">
        <f t="shared" si="0"/>
        <v>19</v>
      </c>
      <c r="G36" s="2" t="s">
        <v>46</v>
      </c>
      <c r="H36" s="3">
        <v>2</v>
      </c>
    </row>
    <row r="37" spans="1:8" x14ac:dyDescent="0.3">
      <c r="A37" s="2" t="s">
        <v>41</v>
      </c>
      <c r="B37">
        <v>19</v>
      </c>
      <c r="D37" t="str">
        <f t="shared" si="0"/>
        <v>Greece</v>
      </c>
      <c r="E37">
        <f t="shared" si="0"/>
        <v>10</v>
      </c>
      <c r="G37" s="2" t="s">
        <v>24</v>
      </c>
      <c r="H37" s="3">
        <v>1</v>
      </c>
    </row>
    <row r="38" spans="1:8" x14ac:dyDescent="0.3">
      <c r="A38" s="2" t="s">
        <v>19</v>
      </c>
      <c r="B38">
        <v>10</v>
      </c>
      <c r="D38" t="str">
        <f t="shared" si="0"/>
        <v>Germany</v>
      </c>
      <c r="E38">
        <f t="shared" si="0"/>
        <v>8</v>
      </c>
      <c r="G38" s="13" t="s">
        <v>133</v>
      </c>
      <c r="H38" s="18">
        <v>4.4629629629629628</v>
      </c>
    </row>
    <row r="39" spans="1:8" x14ac:dyDescent="0.3">
      <c r="A39" s="2" t="s">
        <v>30</v>
      </c>
      <c r="B39">
        <v>8</v>
      </c>
      <c r="D39" t="str">
        <f t="shared" si="0"/>
        <v>Turkey</v>
      </c>
      <c r="E39">
        <f t="shared" si="0"/>
        <v>8</v>
      </c>
    </row>
    <row r="40" spans="1:8" x14ac:dyDescent="0.3">
      <c r="A40" s="2" t="s">
        <v>45</v>
      </c>
      <c r="B40">
        <v>8</v>
      </c>
      <c r="D40" t="str">
        <f t="shared" si="0"/>
        <v>France</v>
      </c>
      <c r="E40">
        <f t="shared" si="0"/>
        <v>4</v>
      </c>
    </row>
    <row r="41" spans="1:8" x14ac:dyDescent="0.3">
      <c r="A41" s="2" t="s">
        <v>35</v>
      </c>
      <c r="B41">
        <v>4</v>
      </c>
      <c r="D41" t="str">
        <f t="shared" si="0"/>
        <v>US</v>
      </c>
      <c r="E41">
        <f t="shared" si="0"/>
        <v>3</v>
      </c>
    </row>
    <row r="42" spans="1:8" x14ac:dyDescent="0.3">
      <c r="A42" s="2" t="s">
        <v>99</v>
      </c>
      <c r="B42">
        <v>3</v>
      </c>
      <c r="D42" t="str">
        <f t="shared" si="0"/>
        <v>Tunisia</v>
      </c>
      <c r="E42">
        <f t="shared" si="0"/>
        <v>2</v>
      </c>
    </row>
    <row r="43" spans="1:8" x14ac:dyDescent="0.3">
      <c r="A43" s="2" t="s">
        <v>53</v>
      </c>
      <c r="B43">
        <v>2</v>
      </c>
    </row>
    <row r="44" spans="1:8" x14ac:dyDescent="0.3">
      <c r="A44" s="13" t="s">
        <v>133</v>
      </c>
      <c r="B44" s="13">
        <v>54</v>
      </c>
    </row>
    <row r="47" spans="1:8" x14ac:dyDescent="0.3">
      <c r="A47" s="21" t="s">
        <v>163</v>
      </c>
      <c r="B47" s="21"/>
    </row>
    <row r="48" spans="1:8" x14ac:dyDescent="0.3">
      <c r="A48" s="13" t="s">
        <v>153</v>
      </c>
      <c r="B48" s="13" t="s">
        <v>165</v>
      </c>
    </row>
    <row r="49" spans="1:2" x14ac:dyDescent="0.3">
      <c r="A49" s="2" t="s">
        <v>44</v>
      </c>
      <c r="B49" s="20">
        <v>299</v>
      </c>
    </row>
    <row r="50" spans="1:2" x14ac:dyDescent="0.3">
      <c r="A50" s="2" t="s">
        <v>34</v>
      </c>
      <c r="B50" s="20">
        <v>217</v>
      </c>
    </row>
    <row r="51" spans="1:2" x14ac:dyDescent="0.3">
      <c r="A51" s="2" t="s">
        <v>23</v>
      </c>
      <c r="B51" s="20">
        <v>106</v>
      </c>
    </row>
    <row r="52" spans="1:2" x14ac:dyDescent="0.3">
      <c r="A52" s="13" t="s">
        <v>133</v>
      </c>
      <c r="B52" s="13">
        <v>622</v>
      </c>
    </row>
  </sheetData>
  <mergeCells count="8">
    <mergeCell ref="A47:B47"/>
    <mergeCell ref="A1:C5"/>
    <mergeCell ref="A35:B35"/>
    <mergeCell ref="D18:E18"/>
    <mergeCell ref="G18:H18"/>
    <mergeCell ref="A27:B27"/>
    <mergeCell ref="D27:E27"/>
    <mergeCell ref="G27:H27"/>
  </mergeCells>
  <conditionalFormatting sqref="C22">
    <cfRule type="iconSet" priority="13">
      <iconSet iconSet="3Arrows">
        <cfvo type="percent" val="0"/>
        <cfvo type="percent" val="33"/>
        <cfvo type="percent" val="67"/>
      </iconSet>
    </cfRule>
  </conditionalFormatting>
  <conditionalFormatting pivot="1" sqref="E20:E22">
    <cfRule type="iconSet" priority="9">
      <iconSet iconSet="3Flags">
        <cfvo type="percent" val="0"/>
        <cfvo type="percent" val="33"/>
        <cfvo type="percent" val="67"/>
      </iconSet>
    </cfRule>
  </conditionalFormatting>
  <conditionalFormatting pivot="1" sqref="H20:H24">
    <cfRule type="dataBar" priority="8">
      <dataBar>
        <cfvo type="min"/>
        <cfvo type="max"/>
        <color rgb="FFD6007B"/>
      </dataBar>
      <extLst>
        <ext xmlns:x14="http://schemas.microsoft.com/office/spreadsheetml/2009/9/main" uri="{B025F937-C7B1-47D3-B67F-A62EFF666E3E}">
          <x14:id>{5860C60B-9067-44F6-9923-E59224496BC4}</x14:id>
        </ext>
      </extLst>
    </cfRule>
  </conditionalFormatting>
  <conditionalFormatting pivot="1" sqref="H20:H24">
    <cfRule type="dataBar" priority="7">
      <dataBar>
        <cfvo type="min"/>
        <cfvo type="max"/>
        <color rgb="FFAF2655"/>
      </dataBar>
      <extLst>
        <ext xmlns:x14="http://schemas.microsoft.com/office/spreadsheetml/2009/9/main" uri="{B025F937-C7B1-47D3-B67F-A62EFF666E3E}">
          <x14:id>{1985B5E2-06B0-4744-BC51-DE4BF5E0EC03}</x14:id>
        </ext>
      </extLst>
    </cfRule>
  </conditionalFormatting>
  <conditionalFormatting pivot="1" sqref="H20:H24">
    <cfRule type="dataBar" priority="6">
      <dataBar>
        <cfvo type="min"/>
        <cfvo type="max"/>
        <color rgb="FFAF2655"/>
      </dataBar>
      <extLst>
        <ext xmlns:x14="http://schemas.microsoft.com/office/spreadsheetml/2009/9/main" uri="{B025F937-C7B1-47D3-B67F-A62EFF666E3E}">
          <x14:id>{DAB586AF-86B3-469A-A10C-CBEE23298D3C}</x14:id>
        </ext>
      </extLst>
    </cfRule>
  </conditionalFormatting>
  <conditionalFormatting pivot="1" sqref="H29:H37">
    <cfRule type="dataBar" priority="5">
      <dataBar>
        <cfvo type="min"/>
        <cfvo type="max"/>
        <color rgb="FFAF2655"/>
      </dataBar>
      <extLst>
        <ext xmlns:x14="http://schemas.microsoft.com/office/spreadsheetml/2009/9/main" uri="{B025F937-C7B1-47D3-B67F-A62EFF666E3E}">
          <x14:id>{AA2264D5-1F4F-4656-A091-76DB3375F5C2}</x14:id>
        </ext>
      </extLst>
    </cfRule>
  </conditionalFormatting>
  <conditionalFormatting pivot="1" sqref="E29 E30 E31 E32">
    <cfRule type="iconSet" priority="4">
      <iconSet iconSet="4Rating">
        <cfvo type="percent" val="0"/>
        <cfvo type="num" val="421"/>
        <cfvo type="num" val="862"/>
        <cfvo type="num" val="914"/>
      </iconSet>
    </cfRule>
  </conditionalFormatting>
  <conditionalFormatting pivot="1" sqref="B37:B43">
    <cfRule type="dataBar" priority="2">
      <dataBar>
        <cfvo type="min"/>
        <cfvo type="max"/>
        <color rgb="FFAF2655"/>
      </dataBar>
      <extLst>
        <ext xmlns:x14="http://schemas.microsoft.com/office/spreadsheetml/2009/9/main" uri="{B025F937-C7B1-47D3-B67F-A62EFF666E3E}">
          <x14:id>{677F2C2F-214D-4560-9648-20DF8FDE7674}</x14:id>
        </ext>
      </extLst>
    </cfRule>
  </conditionalFormatting>
  <conditionalFormatting pivot="1" sqref="B49:B51">
    <cfRule type="iconSet" priority="1">
      <iconSet>
        <cfvo type="percent" val="0"/>
        <cfvo type="percent" val="33"/>
        <cfvo type="percent" val="67"/>
      </iconSet>
    </cfRule>
  </conditionalFormatting>
  <pageMargins left="0.7" right="0.7" top="0.75" bottom="0.75" header="0.3" footer="0.3"/>
  <pageSetup orientation="portrait" r:id="rId13"/>
  <drawing r:id="rId14"/>
  <extLst>
    <ext xmlns:x14="http://schemas.microsoft.com/office/spreadsheetml/2009/9/main" uri="{78C0D931-6437-407d-A8EE-F0AAD7539E65}">
      <x14:conditionalFormattings>
        <x14:conditionalFormatting xmlns:xm="http://schemas.microsoft.com/office/excel/2006/main" pivot="1">
          <x14:cfRule type="dataBar" id="{5860C60B-9067-44F6-9923-E59224496BC4}">
            <x14:dataBar minLength="0" maxLength="100" border="1" negativeBarBorderColorSameAsPositive="0">
              <x14:cfvo type="autoMin"/>
              <x14:cfvo type="autoMax"/>
              <x14:borderColor rgb="FFD6007B"/>
              <x14:negativeFillColor rgb="FFFF0000"/>
              <x14:negativeBorderColor rgb="FFFF0000"/>
              <x14:axisColor rgb="FF000000"/>
            </x14:dataBar>
          </x14:cfRule>
          <xm:sqref>H20:H24</xm:sqref>
        </x14:conditionalFormatting>
        <x14:conditionalFormatting xmlns:xm="http://schemas.microsoft.com/office/excel/2006/main" pivot="1">
          <x14:cfRule type="dataBar" id="{1985B5E2-06B0-4744-BC51-DE4BF5E0EC03}">
            <x14:dataBar minLength="0" maxLength="100" gradient="0">
              <x14:cfvo type="autoMin"/>
              <x14:cfvo type="autoMax"/>
              <x14:negativeFillColor rgb="FFFF0000"/>
              <x14:axisColor rgb="FF000000"/>
            </x14:dataBar>
          </x14:cfRule>
          <xm:sqref>H20:H24</xm:sqref>
        </x14:conditionalFormatting>
        <x14:conditionalFormatting xmlns:xm="http://schemas.microsoft.com/office/excel/2006/main" pivot="1">
          <x14:cfRule type="dataBar" id="{DAB586AF-86B3-469A-A10C-CBEE23298D3C}">
            <x14:dataBar minLength="0" maxLength="100">
              <x14:cfvo type="autoMin"/>
              <x14:cfvo type="autoMax"/>
              <x14:negativeFillColor rgb="FFFF0000"/>
              <x14:axisColor rgb="FF000000"/>
            </x14:dataBar>
          </x14:cfRule>
          <xm:sqref>H20:H24</xm:sqref>
        </x14:conditionalFormatting>
        <x14:conditionalFormatting xmlns:xm="http://schemas.microsoft.com/office/excel/2006/main" pivot="1">
          <x14:cfRule type="dataBar" id="{AA2264D5-1F4F-4656-A091-76DB3375F5C2}">
            <x14:dataBar minLength="0" maxLength="100">
              <x14:cfvo type="autoMin"/>
              <x14:cfvo type="autoMax"/>
              <x14:negativeFillColor rgb="FFFF0000"/>
              <x14:axisColor rgb="FF000000"/>
            </x14:dataBar>
          </x14:cfRule>
          <xm:sqref>H29:H37</xm:sqref>
        </x14:conditionalFormatting>
        <x14:conditionalFormatting xmlns:xm="http://schemas.microsoft.com/office/excel/2006/main" pivot="1">
          <x14:cfRule type="dataBar" id="{677F2C2F-214D-4560-9648-20DF8FDE7674}">
            <x14:dataBar minLength="0" maxLength="100">
              <x14:cfvo type="autoMin"/>
              <x14:cfvo type="autoMax"/>
              <x14:negativeFillColor rgb="FFFF0000"/>
              <x14:axisColor rgb="FF000000"/>
            </x14:dataBar>
          </x14:cfRule>
          <xm:sqref>B37:B43</xm:sqref>
        </x14:conditionalFormatting>
        <x14:conditionalFormatting xmlns:xm="http://schemas.microsoft.com/office/excel/2006/main" pivot="1">
          <x14:cfRule type="iconSet" priority="11" id="{70FABC6F-3707-4988-ADDA-B651C7907704}">
            <x14:iconSet iconSet="3Triangles">
              <x14:cfvo type="percent">
                <xm:f>0</xm:f>
              </x14:cfvo>
              <x14:cfvo type="percent">
                <xm:f>33</xm:f>
              </x14:cfvo>
              <x14:cfvo type="percent">
                <xm:f>67</xm:f>
              </x14:cfvo>
            </x14:iconSet>
          </x14:cfRule>
          <xm:sqref>B20:B22</xm:sqref>
        </x14:conditionalFormatting>
        <x14:conditionalFormatting xmlns:xm="http://schemas.microsoft.com/office/excel/2006/main" pivot="1">
          <x14:cfRule type="iconSet" priority="10" id="{D8BD0E12-9573-49F5-B218-A6243D67ED63}">
            <x14:iconSet iconSet="3Triangles">
              <x14:cfvo type="percent">
                <xm:f>0</xm:f>
              </x14:cfvo>
              <x14:cfvo type="num">
                <xm:f>15</xm:f>
              </x14:cfvo>
              <x14:cfvo type="num">
                <xm:f>26</xm:f>
              </x14:cfvo>
            </x14:iconSet>
          </x14:cfRule>
          <xm:sqref>B20:B22</xm:sqref>
        </x14:conditionalFormatting>
        <x14:conditionalFormatting xmlns:xm="http://schemas.microsoft.com/office/excel/2006/main" pivot="1">
          <x14:cfRule type="iconSet" priority="3" id="{E551D271-2652-4836-9808-CF2239469B21}">
            <x14:iconSet iconSet="3Stars">
              <x14:cfvo type="percent">
                <xm:f>0</xm:f>
              </x14:cfvo>
              <x14:cfvo type="num">
                <xm:f>3</xm:f>
              </x14:cfvo>
              <x14:cfvo type="num">
                <xm:f>10</xm:f>
              </x14:cfvo>
            </x14:iconSet>
          </x14:cfRule>
          <xm:sqref>B29:B31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4BFF-7531-4D59-A45F-C38B652A4BF9}">
  <dimension ref="A1"/>
  <sheetViews>
    <sheetView tabSelected="1" zoomScale="47" zoomScaleNormal="47" workbookViewId="0">
      <selection activeCell="AQ16" sqref="AQ1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D4451E-EE6E-4769-8FA5-B318B7CC91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Abanoub Magdy</dc:creator>
  <cp:lastModifiedBy>Abanoub Magdy</cp:lastModifiedBy>
  <dcterms:created xsi:type="dcterms:W3CDTF">2025-02-22T12:19:13Z</dcterms:created>
  <dcterms:modified xsi:type="dcterms:W3CDTF">2025-02-25T19:49:17Z</dcterms:modified>
</cp:coreProperties>
</file>